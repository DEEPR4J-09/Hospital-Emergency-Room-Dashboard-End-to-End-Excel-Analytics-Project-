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hidePivotFieldList="1" defaultThemeVersion="166925"/>
  <mc:AlternateContent xmlns:mc="http://schemas.openxmlformats.org/markup-compatibility/2006">
    <mc:Choice Requires="x15">
      <x15ac:absPath xmlns:x15ac="http://schemas.microsoft.com/office/spreadsheetml/2010/11/ac" url="D:\"/>
    </mc:Choice>
  </mc:AlternateContent>
  <xr:revisionPtr revIDLastSave="0" documentId="13_ncr:1_{2F7F5EBC-0DF4-409B-978F-B76B3AFDB18B}" xr6:coauthVersionLast="47" xr6:coauthVersionMax="47" xr10:uidLastSave="{00000000-0000-0000-0000-000000000000}"/>
  <bookViews>
    <workbookView xWindow="-108" yWindow="-108" windowWidth="23256" windowHeight="12456" xr2:uid="{65CE440F-6119-4E53-97F5-88954FAAF4B7}"/>
  </bookViews>
  <sheets>
    <sheet name="DashBoard" sheetId="2" r:id="rId1"/>
    <sheet name="Pivot Report" sheetId="1" r:id="rId2"/>
  </sheets>
  <definedNames>
    <definedName name="Slicer_Date__Month">#N/A</definedName>
    <definedName name="Slicer_Date__Year">#N/A</definedName>
  </definedNames>
  <calcPr calcId="191029"/>
  <pivotCaches>
    <pivotCache cacheId="0" r:id="rId3"/>
    <pivotCache cacheId="1" r:id="rId4"/>
    <pivotCache cacheId="2" r:id="rId5"/>
    <pivotCache cacheId="3" r:id="rId6"/>
    <pivotCache cacheId="4" r:id="rId7"/>
    <pivotCache cacheId="5" r:id="rId8"/>
    <pivotCache cacheId="6" r:id="rId9"/>
    <pivotCache cacheId="7" r:id="rId10"/>
    <pivotCache cacheId="8" r:id="rId11"/>
    <pivotCache cacheId="9" r:id="rId12"/>
    <pivotCache cacheId="10" r:id="rId13"/>
    <pivotCache cacheId="11" r:id="rId14"/>
  </pivotCaches>
  <extLst>
    <ext xmlns:x14="http://schemas.microsoft.com/office/spreadsheetml/2009/9/main" uri="{876F7934-8845-4945-9796-88D515C7AA90}">
      <x14:pivotCaches>
        <pivotCache cacheId="12" r:id="rId15"/>
      </x14:pivotCaches>
    </ex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28191de5-4c03-42c7-a169-0a846739147f" name="Hospital Emergency Room Data" connection="Query - Hospital Emergency Room Data"/>
          <x15:modelTable id="Calendar_Table_98904856-d8f3-4b6b-9b26-5668bcdd7efd" name="Calendar_Table" connection="Query - Calendar_Table"/>
        </x15:modelTables>
        <x15:modelRelationships>
          <x15:modelRelationship fromTable="Hospital Emergency Room Data" fromColumn="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3" i="1" l="1"/>
  <c r="N4" i="1"/>
  <c r="M3" i="1"/>
  <c r="M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4437E73-F75B-46CA-BE32-C2E7CD179D3A}" name="Query - Calendar_Table" description="Connection to the 'Calendar_Table' query in the workbook." type="100" refreshedVersion="7" minRefreshableVersion="5">
    <extLst>
      <ext xmlns:x15="http://schemas.microsoft.com/office/spreadsheetml/2010/11/main" uri="{DE250136-89BD-433C-8126-D09CA5730AF9}">
        <x15:connection id="631221a9-f45d-45e7-bdcf-c3dae3804168">
          <x15:oledbPr connection="Provider=Microsoft.Mashup.OleDb.1;Data Source=$Workbook$;Location=Calendar_Table;Extended Properties=&quot;&quot;">
            <x15:dbTables>
              <x15:dbTable name="Calendar_Table"/>
            </x15:dbTables>
          </x15:oledbPr>
        </x15:connection>
      </ext>
    </extLst>
  </connection>
  <connection id="2" xr16:uid="{17424AFF-E709-4BDD-B18B-A345AD551626}" name="Query - Hospital Emergency Room Data" description="Connection to the 'Hospital Emergency Room Data' query in the workbook." type="100" refreshedVersion="7" minRefreshableVersion="5">
    <extLst>
      <ext xmlns:x15="http://schemas.microsoft.com/office/spreadsheetml/2010/11/main" uri="{DE250136-89BD-433C-8126-D09CA5730AF9}">
        <x15:connection id="a590033c-922d-4e92-8b40-a3ca59472002"/>
      </ext>
    </extLst>
  </connection>
  <connection id="3" xr16:uid="{4BC061C7-D040-473C-B0E1-528279E92E05}"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<sst xmlns="http://schemas.openxmlformats.org/spreadsheetml/2006/main" count="155" uniqueCount="73">
  <si>
    <t>Row Labels</t>
  </si>
  <si>
    <t>Grand Total</t>
  </si>
  <si>
    <t>Distinct Count of Patient Id</t>
  </si>
  <si>
    <t>No. of Patient</t>
  </si>
  <si>
    <t>Average of Patient Waittime</t>
  </si>
  <si>
    <t>Average of Patient Satisfaction Score</t>
  </si>
  <si>
    <t>Patient Waittime</t>
  </si>
  <si>
    <t>Patient Satisfaction</t>
  </si>
  <si>
    <t>Every day Patient Count</t>
  </si>
  <si>
    <t>Waiting Time for Patient</t>
  </si>
  <si>
    <t>Rating for every day</t>
  </si>
  <si>
    <t>Admitted</t>
  </si>
  <si>
    <t>Not Admitted</t>
  </si>
  <si>
    <t>Count of Patient Admission Flag</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</si>
  <si>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</si>
  <si>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</si>
  <si>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</si>
  <si>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</si>
  <si>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</si>
  <si>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</si>
  <si>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</si>
  <si>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</si>
  <si>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</si>
  <si>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</si>
  <si>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</si>
  <si>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</si>
  <si>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</si>
  <si>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</si>
  <si>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</si>
  <si>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</si>
  <si>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</si>
  <si>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</si>
  <si>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</si>
  <si>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</si>
  <si>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</si>
  <si>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</si>
  <si>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</si>
  <si>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</si>
  <si>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</si>
  <si>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</si>
  <si>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</si>
  <si>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</si>
  <si>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</si>
  <si>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</si>
  <si>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</si>
  <si>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Count of Patient Admission Flag2</t>
  </si>
  <si>
    <t>Admission Status</t>
  </si>
  <si>
    <t>Patients</t>
  </si>
  <si>
    <t>Chart</t>
  </si>
  <si>
    <t>0-09</t>
  </si>
  <si>
    <t>10-19</t>
  </si>
  <si>
    <t>20-29</t>
  </si>
  <si>
    <t>30-39</t>
  </si>
  <si>
    <t>40-49</t>
  </si>
  <si>
    <t>50-59</t>
  </si>
  <si>
    <t>60-69</t>
  </si>
  <si>
    <t>70-79</t>
  </si>
  <si>
    <t>Count of Age Group</t>
  </si>
  <si>
    <t>Delay</t>
  </si>
  <si>
    <t>Ontime</t>
  </si>
  <si>
    <t>Count of Patient Id</t>
  </si>
  <si>
    <t>Female</t>
  </si>
  <si>
    <t>Male</t>
  </si>
  <si>
    <t>Cardiology</t>
  </si>
  <si>
    <t>Gastroenterology</t>
  </si>
  <si>
    <t>General Practice</t>
  </si>
  <si>
    <t>Neurology</t>
  </si>
  <si>
    <t>None</t>
  </si>
  <si>
    <t>Orthopedics</t>
  </si>
  <si>
    <t>Physiotherapy</t>
  </si>
  <si>
    <t>Renal</t>
  </si>
  <si>
    <t>Count of Department Referral</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</si>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</sst>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b/>
      <sz val="11"/>
      <color theme="1"/>
      <name val="Calibri"/>
      <family val="2"/>
      <scheme val="minor"/>
    </font>
    <font>
      <sz val="11"/>
      <color theme="4" tint="-0.499984740745262"/>
      <name val="Times New Roman"/>
      <family val="1"/>
    </font>
  </fonts>
  <fills count="4">
    <fill>
      <patternFill patternType="none"/>
    </fill>
    <fill>
      <patternFill patternType="gray125"/>
    </fill>
    <fill>
      <patternFill patternType="solid">
        <fgColor theme="1" tint="0.34998626667073579"/>
        <bgColor indexed="64"/>
      </patternFill>
    </fill>
    <fill>
      <patternFill patternType="solid">
        <fgColor theme="0" tint="-0.14999847407452621"/>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pivotButton="1"/>
    <xf numFmtId="0" fontId="0" fillId="0" borderId="0" xfId="0" applyAlignment="1">
      <alignment horizontal="left"/>
    </xf>
    <xf numFmtId="2" fontId="0" fillId="0" borderId="0" xfId="0" applyNumberFormat="1"/>
    <xf numFmtId="0" fontId="1" fillId="0" borderId="0" xfId="0" applyFont="1"/>
    <xf numFmtId="0" fontId="0" fillId="2" borderId="0" xfId="0" applyFill="1"/>
    <xf numFmtId="10" fontId="0" fillId="0" borderId="0" xfId="0" applyNumberFormat="1"/>
    <xf numFmtId="1" fontId="0" fillId="0" borderId="0" xfId="0" applyNumberFormat="1"/>
    <xf numFmtId="0" fontId="2" fillId="3" borderId="0" xfId="0" applyFont="1" applyFill="1"/>
    <xf numFmtId="1" fontId="2" fillId="3" borderId="0" xfId="0" applyNumberFormat="1" applyFont="1" applyFill="1" applyAlignment="1">
      <alignment horizontal="left"/>
    </xf>
    <xf numFmtId="0" fontId="2" fillId="3" borderId="0" xfId="0" applyFont="1" applyFill="1" applyAlignment="1">
      <alignment horizontal="center"/>
    </xf>
  </cellXfs>
  <cellStyles count="1">
    <cellStyle name="Normal" xfId="0" builtinId="0"/>
  </cellStyles>
  <dxfs count="13">
    <dxf>
      <numFmt numFmtId="1" formatCode="0"/>
    </dxf>
    <dxf>
      <numFmt numFmtId="14"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font>
        <b/>
        <color theme="1"/>
      </font>
      <border>
        <bottom style="thin">
          <color theme="5"/>
        </bottom>
        <vertical/>
        <horizontal/>
      </border>
    </dxf>
    <dxf>
      <font>
        <b val="0"/>
        <i val="0"/>
        <sz val="8"/>
        <color theme="4" tint="-0.499984740745262"/>
        <name val="Times New Roman"/>
        <family val="1"/>
        <scheme val="none"/>
      </font>
      <fill>
        <patternFill patternType="solid">
          <bgColor theme="0" tint="-0.14996795556505021"/>
        </patternFill>
      </fill>
      <border diagonalUp="0" diagonalDown="0">
        <left/>
        <right/>
        <top/>
        <bottom/>
        <vertical/>
        <horizontal/>
      </border>
    </dxf>
  </dxfs>
  <tableStyles count="1" defaultTableStyle="TableStyleMedium2" defaultPivotStyle="PivotStyleLight16">
    <tableStyle name="My Style" pivot="0" table="0" count="10" xr9:uid="{B1E3BCF2-75C6-48BD-97BA-41B427BF8F48}">
      <tableStyleElement type="wholeTable" dxfId="12"/>
      <tableStyleElement type="headerRow" dxfId="11"/>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openxmlformats.org/officeDocument/2006/relationships/theme" Target="theme/theme1.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haredStrings" Target="sharedStrings.xml"/><Relationship Id="rId34" Type="http://schemas.openxmlformats.org/officeDocument/2006/relationships/customXml" Target="../customXml/item11.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tyles" Target="styles.xml"/><Relationship Id="rId29" Type="http://schemas.openxmlformats.org/officeDocument/2006/relationships/customXml" Target="../customXml/item6.xml"/><Relationship Id="rId41"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5" Type="http://schemas.openxmlformats.org/officeDocument/2006/relationships/pivotCacheDefinition" Target="pivotCache/pivotCacheDefinition3.xml"/><Relationship Id="rId15" Type="http://schemas.openxmlformats.org/officeDocument/2006/relationships/pivotCacheDefinition" Target="pivotCache/pivotCacheDefinition13.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pivotCacheDefinition" Target="pivotCache/pivotCacheDefinition8.xml"/><Relationship Id="rId19" Type="http://schemas.openxmlformats.org/officeDocument/2006/relationships/connections" Target="connections.xml"/><Relationship Id="rId31" Type="http://schemas.openxmlformats.org/officeDocument/2006/relationships/customXml" Target="../customXml/item8.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pivotCacheDefinition" Target="pivotCache/pivotCacheDefinition12.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microsoft.com/office/2007/relationships/slicerCache" Target="slicerCaches/slicerCache2.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 Project By Deepraj Patel (Resume).xlsx]Pivot Report!PivotTable5</c:name>
    <c:fmtId val="2"/>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Report'!$D$2</c:f>
              <c:strCache>
                <c:ptCount val="1"/>
                <c:pt idx="0">
                  <c:v>Total</c:v>
                </c:pt>
              </c:strCache>
            </c:strRef>
          </c:tx>
          <c:spPr>
            <a:solidFill>
              <a:schemeClr val="accent2"/>
            </a:solidFill>
            <a:ln>
              <a:noFill/>
            </a:ln>
            <a:effectLst>
              <a:outerShdw blurRad="57150" dist="19050" dir="5400000" algn="ctr" rotWithShape="0">
                <a:srgbClr val="000000">
                  <a:alpha val="63000"/>
                </a:srgbClr>
              </a:outerShdw>
            </a:effectLst>
          </c:spPr>
          <c:cat>
            <c:strRef>
              <c:f>'Pivot Report'!$C$3:$C$34</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Report'!$D$3:$D$34</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0-3CD5-4DA2-83E9-40AB0737E899}"/>
            </c:ext>
          </c:extLst>
        </c:ser>
        <c:dLbls>
          <c:showLegendKey val="0"/>
          <c:showVal val="0"/>
          <c:showCatName val="0"/>
          <c:showSerName val="0"/>
          <c:showPercent val="0"/>
          <c:showBubbleSize val="0"/>
        </c:dLbls>
        <c:axId val="1198284767"/>
        <c:axId val="1198285599"/>
      </c:areaChart>
      <c:catAx>
        <c:axId val="1198284767"/>
        <c:scaling>
          <c:orientation val="minMax"/>
        </c:scaling>
        <c:delete val="1"/>
        <c:axPos val="b"/>
        <c:numFmt formatCode="General" sourceLinked="1"/>
        <c:majorTickMark val="out"/>
        <c:minorTickMark val="none"/>
        <c:tickLblPos val="nextTo"/>
        <c:crossAx val="1198285599"/>
        <c:crosses val="autoZero"/>
        <c:auto val="1"/>
        <c:lblAlgn val="ctr"/>
        <c:lblOffset val="100"/>
        <c:noMultiLvlLbl val="0"/>
      </c:catAx>
      <c:valAx>
        <c:axId val="1198285599"/>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198284767"/>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no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 Project By Deepraj Patel (Resume).xlsx]Pivot Report!PivotTable7</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107273239546964E-2"/>
          <c:y val="0.32209126457134424"/>
          <c:w val="0.78951555430332965"/>
          <c:h val="0.35581747085731147"/>
        </c:manualLayout>
      </c:layout>
      <c:areaChart>
        <c:grouping val="standard"/>
        <c:varyColors val="0"/>
        <c:ser>
          <c:idx val="0"/>
          <c:order val="0"/>
          <c:tx>
            <c:strRef>
              <c:f>'Pivot Report'!$J$2</c:f>
              <c:strCache>
                <c:ptCount val="1"/>
                <c:pt idx="0">
                  <c:v>Total</c:v>
                </c:pt>
              </c:strCache>
            </c:strRef>
          </c:tx>
          <c:spPr>
            <a:solidFill>
              <a:schemeClr val="accent2"/>
            </a:solidFill>
            <a:ln>
              <a:noFill/>
            </a:ln>
            <a:effectLst/>
          </c:spPr>
          <c:cat>
            <c:strRef>
              <c:f>'Pivot Report'!$I$3:$I$34</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Report'!$J$3:$J$34</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0-BB1E-4EBC-85EC-F0A2D306D755}"/>
            </c:ext>
          </c:extLst>
        </c:ser>
        <c:dLbls>
          <c:showLegendKey val="0"/>
          <c:showVal val="0"/>
          <c:showCatName val="0"/>
          <c:showSerName val="0"/>
          <c:showPercent val="0"/>
          <c:showBubbleSize val="0"/>
        </c:dLbls>
        <c:axId val="342123231"/>
        <c:axId val="342125311"/>
      </c:areaChart>
      <c:catAx>
        <c:axId val="342123231"/>
        <c:scaling>
          <c:orientation val="minMax"/>
        </c:scaling>
        <c:delete val="1"/>
        <c:axPos val="b"/>
        <c:numFmt formatCode="General" sourceLinked="1"/>
        <c:majorTickMark val="out"/>
        <c:minorTickMark val="none"/>
        <c:tickLblPos val="nextTo"/>
        <c:crossAx val="342125311"/>
        <c:crosses val="autoZero"/>
        <c:auto val="1"/>
        <c:lblAlgn val="ctr"/>
        <c:lblOffset val="100"/>
        <c:noMultiLvlLbl val="0"/>
      </c:catAx>
      <c:valAx>
        <c:axId val="342125311"/>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342123231"/>
        <c:crosses val="autoZero"/>
        <c:crossBetween val="midCat"/>
      </c:valAx>
      <c:spPr>
        <a:noFill/>
        <a:ln w="25400">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 Project By Deepraj Patel (Resume).xlsx]Pivot Report!PivotTable6</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Report'!$G$2</c:f>
              <c:strCache>
                <c:ptCount val="1"/>
                <c:pt idx="0">
                  <c:v>Total</c:v>
                </c:pt>
              </c:strCache>
            </c:strRef>
          </c:tx>
          <c:spPr>
            <a:solidFill>
              <a:schemeClr val="accent1"/>
            </a:solidFill>
            <a:ln>
              <a:noFill/>
            </a:ln>
            <a:effectLst/>
          </c:spPr>
          <c:cat>
            <c:strRef>
              <c:f>'Pivot Report'!$F$3:$F$34</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Report'!$G$3:$G$34</c:f>
              <c:numCache>
                <c:formatCode>General</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0-C183-4E85-B26E-0E8D741D837D}"/>
            </c:ext>
          </c:extLst>
        </c:ser>
        <c:dLbls>
          <c:showLegendKey val="0"/>
          <c:showVal val="0"/>
          <c:showCatName val="0"/>
          <c:showSerName val="0"/>
          <c:showPercent val="0"/>
          <c:showBubbleSize val="0"/>
        </c:dLbls>
        <c:axId val="844887471"/>
        <c:axId val="844887887"/>
      </c:areaChart>
      <c:catAx>
        <c:axId val="844887471"/>
        <c:scaling>
          <c:orientation val="minMax"/>
        </c:scaling>
        <c:delete val="1"/>
        <c:axPos val="b"/>
        <c:numFmt formatCode="General" sourceLinked="1"/>
        <c:majorTickMark val="out"/>
        <c:minorTickMark val="none"/>
        <c:tickLblPos val="nextTo"/>
        <c:crossAx val="844887887"/>
        <c:crosses val="autoZero"/>
        <c:auto val="1"/>
        <c:lblAlgn val="ctr"/>
        <c:lblOffset val="100"/>
        <c:noMultiLvlLbl val="0"/>
      </c:catAx>
      <c:valAx>
        <c:axId val="84488788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844887471"/>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 Project By Deepraj Patel (Resume).xlsx]Pivot Report!PivotTable9</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pivotFmt>
      <c:pivotFmt>
        <c:idx val="4"/>
        <c:spPr>
          <a:solidFill>
            <a:schemeClr val="accent1"/>
          </a:solidFill>
          <a:ln>
            <a:noFill/>
          </a:ln>
          <a:effectLst/>
        </c:spPr>
      </c:pivotFmt>
      <c:pivotFmt>
        <c:idx val="5"/>
        <c:spPr>
          <a:solidFill>
            <a:schemeClr val="accent2"/>
          </a:solidFill>
          <a:ln>
            <a:noFill/>
          </a:ln>
          <a:effectLst/>
        </c:spPr>
      </c:pivotFmt>
      <c:pivotFmt>
        <c:idx val="6"/>
        <c:spPr>
          <a:solidFill>
            <a:schemeClr val="accent1"/>
          </a:solidFill>
          <a:ln>
            <a:noFill/>
          </a:ln>
          <a:effectLst/>
        </c:spPr>
      </c:pivotFmt>
      <c:pivotFmt>
        <c:idx val="7"/>
        <c:spPr>
          <a:solidFill>
            <a:schemeClr val="accent2"/>
          </a:solidFill>
          <a:ln>
            <a:noFill/>
          </a:ln>
          <a:effectLst/>
        </c:spPr>
      </c:pivotFmt>
      <c:pivotFmt>
        <c:idx val="8"/>
        <c:spPr>
          <a:solidFill>
            <a:schemeClr val="accent1"/>
          </a:solidFill>
          <a:ln>
            <a:noFill/>
          </a:ln>
          <a:effectLst/>
        </c:spPr>
      </c:pivotFmt>
      <c:pivotFmt>
        <c:idx val="9"/>
        <c:spPr>
          <a:solidFill>
            <a:schemeClr val="accent2"/>
          </a:solidFill>
          <a:ln>
            <a:noFill/>
          </a:ln>
          <a:effectLst/>
        </c:spPr>
      </c:pivotFmt>
      <c:pivotFmt>
        <c:idx val="10"/>
        <c:spPr>
          <a:solidFill>
            <a:schemeClr val="accent1"/>
          </a:solidFill>
          <a:ln>
            <a:noFill/>
          </a:ln>
          <a:effectLst/>
        </c:spPr>
      </c:pivotFmt>
    </c:pivotFmts>
    <c:plotArea>
      <c:layout/>
      <c:barChart>
        <c:barDir val="col"/>
        <c:grouping val="clustered"/>
        <c:varyColors val="0"/>
        <c:ser>
          <c:idx val="0"/>
          <c:order val="0"/>
          <c:tx>
            <c:strRef>
              <c:f>'Pivot Report'!$B$43</c:f>
              <c:strCache>
                <c:ptCount val="1"/>
                <c:pt idx="0">
                  <c:v>Total</c:v>
                </c:pt>
              </c:strCache>
            </c:strRef>
          </c:tx>
          <c:spPr>
            <a:solidFill>
              <a:srgbClr val="FF0000"/>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2-EF6B-4998-9902-B405157D40C9}"/>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EF6B-4998-9902-B405157D40C9}"/>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4-EF6B-4998-9902-B405157D40C9}"/>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5-EF6B-4998-9902-B405157D40C9}"/>
              </c:ext>
            </c:extLst>
          </c:dPt>
          <c:dPt>
            <c:idx val="4"/>
            <c:invertIfNegative val="0"/>
            <c:bubble3D val="0"/>
            <c:spPr>
              <a:solidFill>
                <a:schemeClr val="accent2"/>
              </a:solidFill>
              <a:ln>
                <a:noFill/>
              </a:ln>
              <a:effectLst/>
            </c:spPr>
            <c:extLst>
              <c:ext xmlns:c16="http://schemas.microsoft.com/office/drawing/2014/chart" uri="{C3380CC4-5D6E-409C-BE32-E72D297353CC}">
                <c16:uniqueId val="{00000006-EF6B-4998-9902-B405157D40C9}"/>
              </c:ext>
            </c:extLst>
          </c:dPt>
          <c:dPt>
            <c:idx val="5"/>
            <c:invertIfNegative val="0"/>
            <c:bubble3D val="0"/>
            <c:spPr>
              <a:solidFill>
                <a:schemeClr val="accent1"/>
              </a:solidFill>
              <a:ln>
                <a:noFill/>
              </a:ln>
              <a:effectLst/>
            </c:spPr>
            <c:extLst>
              <c:ext xmlns:c16="http://schemas.microsoft.com/office/drawing/2014/chart" uri="{C3380CC4-5D6E-409C-BE32-E72D297353CC}">
                <c16:uniqueId val="{00000007-EF6B-4998-9902-B405157D40C9}"/>
              </c:ext>
            </c:extLst>
          </c:dPt>
          <c:dPt>
            <c:idx val="6"/>
            <c:invertIfNegative val="0"/>
            <c:bubble3D val="0"/>
            <c:spPr>
              <a:solidFill>
                <a:schemeClr val="accent2"/>
              </a:solidFill>
              <a:ln>
                <a:noFill/>
              </a:ln>
              <a:effectLst/>
            </c:spPr>
            <c:extLst>
              <c:ext xmlns:c16="http://schemas.microsoft.com/office/drawing/2014/chart" uri="{C3380CC4-5D6E-409C-BE32-E72D297353CC}">
                <c16:uniqueId val="{00000008-EF6B-4998-9902-B405157D40C9}"/>
              </c:ext>
            </c:extLst>
          </c:dPt>
          <c:dPt>
            <c:idx val="7"/>
            <c:invertIfNegative val="0"/>
            <c:bubble3D val="0"/>
            <c:spPr>
              <a:solidFill>
                <a:schemeClr val="accent1"/>
              </a:solidFill>
              <a:ln>
                <a:noFill/>
              </a:ln>
              <a:effectLst/>
            </c:spPr>
            <c:extLst>
              <c:ext xmlns:c16="http://schemas.microsoft.com/office/drawing/2014/chart" uri="{C3380CC4-5D6E-409C-BE32-E72D297353CC}">
                <c16:uniqueId val="{00000009-EF6B-4998-9902-B405157D40C9}"/>
              </c:ext>
            </c:extLst>
          </c:dPt>
          <c:cat>
            <c:strRef>
              <c:f>'Pivot Report'!$A$44:$A$52</c:f>
              <c:strCache>
                <c:ptCount val="8"/>
                <c:pt idx="0">
                  <c:v>0-09</c:v>
                </c:pt>
                <c:pt idx="1">
                  <c:v>10-19</c:v>
                </c:pt>
                <c:pt idx="2">
                  <c:v>20-29</c:v>
                </c:pt>
                <c:pt idx="3">
                  <c:v>30-39</c:v>
                </c:pt>
                <c:pt idx="4">
                  <c:v>40-49</c:v>
                </c:pt>
                <c:pt idx="5">
                  <c:v>50-59</c:v>
                </c:pt>
                <c:pt idx="6">
                  <c:v>60-69</c:v>
                </c:pt>
                <c:pt idx="7">
                  <c:v>70-79</c:v>
                </c:pt>
              </c:strCache>
            </c:strRef>
          </c:cat>
          <c:val>
            <c:numRef>
              <c:f>'Pivot Report'!$B$44:$B$52</c:f>
              <c:numCache>
                <c:formatCode>0</c:formatCode>
                <c:ptCount val="8"/>
                <c:pt idx="0">
                  <c:v>76</c:v>
                </c:pt>
                <c:pt idx="1">
                  <c:v>69</c:v>
                </c:pt>
                <c:pt idx="2">
                  <c:v>64</c:v>
                </c:pt>
                <c:pt idx="3">
                  <c:v>59</c:v>
                </c:pt>
                <c:pt idx="4">
                  <c:v>58</c:v>
                </c:pt>
                <c:pt idx="5">
                  <c:v>66</c:v>
                </c:pt>
                <c:pt idx="6">
                  <c:v>67</c:v>
                </c:pt>
                <c:pt idx="7">
                  <c:v>54</c:v>
                </c:pt>
              </c:numCache>
            </c:numRef>
          </c:val>
          <c:extLst>
            <c:ext xmlns:c16="http://schemas.microsoft.com/office/drawing/2014/chart" uri="{C3380CC4-5D6E-409C-BE32-E72D297353CC}">
              <c16:uniqueId val="{00000000-EF6B-4998-9902-B405157D40C9}"/>
            </c:ext>
          </c:extLst>
        </c:ser>
        <c:dLbls>
          <c:showLegendKey val="0"/>
          <c:showVal val="0"/>
          <c:showCatName val="0"/>
          <c:showSerName val="0"/>
          <c:showPercent val="0"/>
          <c:showBubbleSize val="0"/>
        </c:dLbls>
        <c:gapWidth val="219"/>
        <c:overlap val="-27"/>
        <c:axId val="1564176480"/>
        <c:axId val="1564177728"/>
      </c:barChart>
      <c:catAx>
        <c:axId val="1564176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crossAx val="1564177728"/>
        <c:crosses val="autoZero"/>
        <c:auto val="1"/>
        <c:lblAlgn val="ctr"/>
        <c:lblOffset val="100"/>
        <c:noMultiLvlLbl val="0"/>
      </c:catAx>
      <c:valAx>
        <c:axId val="1564177728"/>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5641764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accent1">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 Project By Deepraj Patel (Resume).xlsx]Pivot Report!PivotTable12</c:name>
    <c:fmtId val="6"/>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940583816661958"/>
          <c:y val="0.14620951345693178"/>
          <c:w val="0.51791085702890005"/>
          <c:h val="0.53771794363013636"/>
        </c:manualLayout>
      </c:layout>
      <c:pieChart>
        <c:varyColors val="1"/>
        <c:ser>
          <c:idx val="0"/>
          <c:order val="0"/>
          <c:tx>
            <c:strRef>
              <c:f>'Pivot Report'!$B$55</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8BA5-4D1C-8523-B3870536FDDE}"/>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8BA5-4D1C-8523-B3870536FDD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Report'!$A$56:$A$58</c:f>
              <c:strCache>
                <c:ptCount val="2"/>
                <c:pt idx="0">
                  <c:v>Delay</c:v>
                </c:pt>
                <c:pt idx="1">
                  <c:v>Ontime</c:v>
                </c:pt>
              </c:strCache>
            </c:strRef>
          </c:cat>
          <c:val>
            <c:numRef>
              <c:f>'Pivot Report'!$B$56:$B$58</c:f>
              <c:numCache>
                <c:formatCode>0.00</c:formatCode>
                <c:ptCount val="2"/>
                <c:pt idx="0">
                  <c:v>316</c:v>
                </c:pt>
                <c:pt idx="1">
                  <c:v>197</c:v>
                </c:pt>
              </c:numCache>
            </c:numRef>
          </c:val>
          <c:extLst>
            <c:ext xmlns:c16="http://schemas.microsoft.com/office/drawing/2014/chart" uri="{C3380CC4-5D6E-409C-BE32-E72D297353CC}">
              <c16:uniqueId val="{00000004-8BA5-4D1C-8523-B3870536FDDE}"/>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5525929289418328"/>
          <c:y val="8.498744760695582E-3"/>
          <c:w val="0.75254682332607647"/>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 Project By Deepraj Patel (Resume).xlsx]Pivot Report!PivotTable13</c:name>
    <c:fmtId val="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noFill/>
          </a:ln>
          <a:effectLst/>
        </c:spPr>
        <c:marker>
          <c:symbol val="none"/>
        </c:marker>
        <c:dLbl>
          <c:idx val="0"/>
          <c:spPr>
            <a:noFill/>
            <a:ln>
              <a:noFill/>
            </a:ln>
            <a:effectLst/>
          </c:spPr>
          <c:txPr>
            <a:bodyPr rot="0" spcFirstLastPara="1" vertOverflow="ellipsis" vert="horz" wrap="square" anchor="ctr" anchorCtr="1"/>
            <a:lstStyle/>
            <a:p>
              <a:pPr>
                <a:defRPr sz="700" b="0"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noFill/>
          </a:ln>
          <a:effectLst/>
        </c:spPr>
      </c:pivotFmt>
      <c:pivotFmt>
        <c:idx val="6"/>
        <c:spPr>
          <a:solidFill>
            <a:schemeClr val="accent1"/>
          </a:solidFill>
          <a:ln w="19050">
            <a:noFill/>
          </a:ln>
          <a:effectLst/>
        </c:spPr>
      </c:pivotFmt>
    </c:pivotFmts>
    <c:plotArea>
      <c:layout>
        <c:manualLayout>
          <c:layoutTarget val="inner"/>
          <c:xMode val="edge"/>
          <c:yMode val="edge"/>
          <c:x val="0.21375396556773604"/>
          <c:y val="0.20473821771806044"/>
          <c:w val="0.65095638357759533"/>
          <c:h val="0.65684728732788655"/>
        </c:manualLayout>
      </c:layout>
      <c:doughnutChart>
        <c:varyColors val="1"/>
        <c:ser>
          <c:idx val="0"/>
          <c:order val="0"/>
          <c:tx>
            <c:strRef>
              <c:f>'Pivot Report'!$B$60</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EA0D-49D0-8753-ADCAAF7C19CD}"/>
              </c:ext>
            </c:extLst>
          </c:dPt>
          <c:dPt>
            <c:idx val="1"/>
            <c:bubble3D val="0"/>
            <c:spPr>
              <a:solidFill>
                <a:schemeClr val="accent2"/>
              </a:solidFill>
              <a:ln w="19050">
                <a:noFill/>
              </a:ln>
              <a:effectLst/>
            </c:spPr>
            <c:extLst>
              <c:ext xmlns:c16="http://schemas.microsoft.com/office/drawing/2014/chart" uri="{C3380CC4-5D6E-409C-BE32-E72D297353CC}">
                <c16:uniqueId val="{00000003-EA0D-49D0-8753-ADCAAF7C19CD}"/>
              </c:ext>
            </c:extLst>
          </c:dPt>
          <c:dLbls>
            <c:spPr>
              <a:noFill/>
              <a:ln>
                <a:noFill/>
              </a:ln>
              <a:effectLst/>
            </c:spPr>
            <c:txPr>
              <a:bodyPr rot="0" spcFirstLastPara="1" vertOverflow="ellipsis" vert="horz" wrap="square" anchor="ctr" anchorCtr="1"/>
              <a:lstStyle/>
              <a:p>
                <a:pPr>
                  <a:defRPr sz="700" b="0"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'Pivot Report'!$A$61:$A$63</c:f>
              <c:strCache>
                <c:ptCount val="2"/>
                <c:pt idx="0">
                  <c:v>Female</c:v>
                </c:pt>
                <c:pt idx="1">
                  <c:v>Male</c:v>
                </c:pt>
              </c:strCache>
            </c:strRef>
          </c:cat>
          <c:val>
            <c:numRef>
              <c:f>'Pivot Report'!$B$61:$B$63</c:f>
              <c:numCache>
                <c:formatCode>0</c:formatCode>
                <c:ptCount val="2"/>
                <c:pt idx="0">
                  <c:v>241</c:v>
                </c:pt>
                <c:pt idx="1">
                  <c:v>272</c:v>
                </c:pt>
              </c:numCache>
            </c:numRef>
          </c:val>
          <c:extLst>
            <c:ext xmlns:c16="http://schemas.microsoft.com/office/drawing/2014/chart" uri="{C3380CC4-5D6E-409C-BE32-E72D297353CC}">
              <c16:uniqueId val="{00000004-EA0D-49D0-8753-ADCAAF7C19CD}"/>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layout>
        <c:manualLayout>
          <c:xMode val="edge"/>
          <c:yMode val="edge"/>
          <c:x val="0.101130165043309"/>
          <c:y val="8.3385136037761057E-2"/>
          <c:w val="0.78770892998438491"/>
          <c:h val="0.156251093613298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accent1">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 Project By Deepraj Patel (Resume).xlsx]Pivot Report!PivotTable14</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495509457498187"/>
          <c:y val="3.730264444329313E-3"/>
          <c:w val="0.68956174073390286"/>
          <c:h val="0.84434947942867233"/>
        </c:manualLayout>
      </c:layout>
      <c:barChart>
        <c:barDir val="bar"/>
        <c:grouping val="clustered"/>
        <c:varyColors val="0"/>
        <c:ser>
          <c:idx val="0"/>
          <c:order val="0"/>
          <c:tx>
            <c:strRef>
              <c:f>'Pivot Report'!$F$37</c:f>
              <c:strCache>
                <c:ptCount val="1"/>
                <c:pt idx="0">
                  <c:v>Total</c:v>
                </c:pt>
              </c:strCache>
            </c:strRef>
          </c:tx>
          <c:spPr>
            <a:solidFill>
              <a:schemeClr val="accent1"/>
            </a:solidFill>
            <a:ln>
              <a:noFill/>
            </a:ln>
            <a:effectLst/>
          </c:spPr>
          <c:invertIfNegative val="0"/>
          <c:cat>
            <c:strRef>
              <c:f>'Pivot Report'!$E$38:$E$46</c:f>
              <c:strCache>
                <c:ptCount val="8"/>
                <c:pt idx="0">
                  <c:v>Gastroenterology</c:v>
                </c:pt>
                <c:pt idx="1">
                  <c:v>Renal</c:v>
                </c:pt>
                <c:pt idx="2">
                  <c:v>Neurology</c:v>
                </c:pt>
                <c:pt idx="3">
                  <c:v>Physiotherapy</c:v>
                </c:pt>
                <c:pt idx="4">
                  <c:v>Cardiology</c:v>
                </c:pt>
                <c:pt idx="5">
                  <c:v>Orthopedics</c:v>
                </c:pt>
                <c:pt idx="6">
                  <c:v>General Practice</c:v>
                </c:pt>
                <c:pt idx="7">
                  <c:v>None</c:v>
                </c:pt>
              </c:strCache>
            </c:strRef>
          </c:cat>
          <c:val>
            <c:numRef>
              <c:f>'Pivot Report'!$F$38:$F$46</c:f>
              <c:numCache>
                <c:formatCode>0</c:formatCode>
                <c:ptCount val="8"/>
                <c:pt idx="0">
                  <c:v>4</c:v>
                </c:pt>
                <c:pt idx="1">
                  <c:v>5</c:v>
                </c:pt>
                <c:pt idx="2">
                  <c:v>9</c:v>
                </c:pt>
                <c:pt idx="3">
                  <c:v>14</c:v>
                </c:pt>
                <c:pt idx="4">
                  <c:v>14</c:v>
                </c:pt>
                <c:pt idx="5">
                  <c:v>65</c:v>
                </c:pt>
                <c:pt idx="6">
                  <c:v>103</c:v>
                </c:pt>
                <c:pt idx="7">
                  <c:v>299</c:v>
                </c:pt>
              </c:numCache>
            </c:numRef>
          </c:val>
          <c:extLst>
            <c:ext xmlns:c16="http://schemas.microsoft.com/office/drawing/2014/chart" uri="{C3380CC4-5D6E-409C-BE32-E72D297353CC}">
              <c16:uniqueId val="{00000000-0B4F-4FB8-BDF9-3530A9D6BC48}"/>
            </c:ext>
          </c:extLst>
        </c:ser>
        <c:dLbls>
          <c:showLegendKey val="0"/>
          <c:showVal val="0"/>
          <c:showCatName val="0"/>
          <c:showSerName val="0"/>
          <c:showPercent val="0"/>
          <c:showBubbleSize val="0"/>
        </c:dLbls>
        <c:gapWidth val="182"/>
        <c:axId val="1740320608"/>
        <c:axId val="1740319776"/>
      </c:barChart>
      <c:catAx>
        <c:axId val="1740320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accent1">
                    <a:lumMod val="50000"/>
                  </a:schemeClr>
                </a:solidFill>
                <a:latin typeface="+mn-lt"/>
                <a:ea typeface="+mn-ea"/>
                <a:cs typeface="+mn-cs"/>
              </a:defRPr>
            </a:pPr>
            <a:endParaRPr lang="en-US"/>
          </a:p>
        </c:txPr>
        <c:crossAx val="1740319776"/>
        <c:crosses val="autoZero"/>
        <c:auto val="1"/>
        <c:lblAlgn val="ctr"/>
        <c:lblOffset val="100"/>
        <c:noMultiLvlLbl val="0"/>
      </c:catAx>
      <c:valAx>
        <c:axId val="1740319776"/>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7403206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8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 Project By Deepraj Patel (Resume).xlsx]Pivot Report!PivotTable2</c:name>
    <c:fmtId val="0"/>
  </c:pivotSource>
  <c:chart>
    <c:autoTitleDeleted val="1"/>
    <c:pivotFmts>
      <c:pivotFmt>
        <c:idx val="0"/>
        <c:spPr>
          <a:solidFill>
            <a:srgbClr val="FF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
        <c:spPr>
          <a:no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7DAA5A7-19E0-49B2-9A3D-D6E7479F3459}"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3"/>
        <c:spPr>
          <a:solidFill>
            <a:schemeClr val="accent2"/>
          </a:soli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D5D6674-3037-44D3-BEEF-6DEBF3AF8A14}"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manualLayout>
          <c:layoutTarget val="inner"/>
          <c:xMode val="edge"/>
          <c:yMode val="edge"/>
          <c:x val="3.6615426180940325E-2"/>
          <c:y val="0.14226696876460165"/>
          <c:w val="0.84728094868970394"/>
          <c:h val="0.70959135316418775"/>
        </c:manualLayout>
      </c:layout>
      <c:barChart>
        <c:barDir val="bar"/>
        <c:grouping val="clustered"/>
        <c:varyColors val="0"/>
        <c:ser>
          <c:idx val="0"/>
          <c:order val="0"/>
          <c:tx>
            <c:strRef>
              <c:f>('Pivot Report'!$C$38,'Pivot Report'!$C$39)</c:f>
              <c:strCache>
                <c:ptCount val="1"/>
                <c:pt idx="0">
                  <c:v>Count of Patient Admission Flag</c:v>
                </c:pt>
              </c:strCache>
            </c:strRef>
          </c:tx>
          <c:spPr>
            <a:solidFill>
              <a:srgbClr val="FF0000"/>
            </a:solidFill>
            <a:ln>
              <a:noFill/>
            </a:ln>
            <a:effectLst>
              <a:outerShdw blurRad="57150" dist="19050" dir="5400000" algn="ctr" rotWithShape="0">
                <a:srgbClr val="000000">
                  <a:alpha val="63000"/>
                </a:srgbClr>
              </a:outerShdw>
            </a:effectLst>
          </c:spPr>
          <c:invertIfNegative val="0"/>
          <c:dPt>
            <c:idx val="0"/>
            <c:invertIfNegative val="0"/>
            <c:bubble3D val="0"/>
            <c:spPr>
              <a:solidFill>
                <a:schemeClr val="accent1"/>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951-4B49-B06A-9E9B7676C433}"/>
              </c:ext>
            </c:extLst>
          </c:dPt>
          <c:dPt>
            <c:idx val="1"/>
            <c:invertIfNegative val="0"/>
            <c:bubble3D val="0"/>
            <c:spPr>
              <a:solidFill>
                <a:schemeClr val="accent2"/>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9951-4B49-B06A-9E9B7676C433}"/>
              </c:ext>
            </c:extLst>
          </c:dPt>
          <c:dLbls>
            <c:dLbl>
              <c:idx val="0"/>
              <c:tx>
                <c:rich>
                  <a:bodyPr/>
                  <a:lstStyle/>
                  <a:p>
                    <a:fld id="{D7DAA5A7-19E0-49B2-9A3D-D6E7479F3459}"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9951-4B49-B06A-9E9B7676C433}"/>
                </c:ext>
              </c:extLst>
            </c:dLbl>
            <c:dLbl>
              <c:idx val="1"/>
              <c:tx>
                <c:rich>
                  <a:bodyPr/>
                  <a:lstStyle/>
                  <a:p>
                    <a:fld id="{ED5D6674-3037-44D3-BEEF-6DEBF3AF8A14}"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9951-4B49-B06A-9E9B7676C43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('Pivot Report'!$C$38,'Pivot Report'!$C$39)</c:f>
              <c:strCache>
                <c:ptCount val="2"/>
                <c:pt idx="0">
                  <c:v>Admitted</c:v>
                </c:pt>
                <c:pt idx="1">
                  <c:v>Not Admitted</c:v>
                </c:pt>
              </c:strCache>
            </c:strRef>
          </c:cat>
          <c:val>
            <c:numRef>
              <c:f>('Pivot Report'!$C$38,'Pivot Report'!$C$39)</c:f>
              <c:numCache>
                <c:formatCode>0.00</c:formatCode>
                <c:ptCount val="2"/>
                <c:pt idx="0">
                  <c:v>269</c:v>
                </c:pt>
                <c:pt idx="1">
                  <c:v>244</c:v>
                </c:pt>
              </c:numCache>
            </c:numRef>
          </c:val>
          <c:extLst>
            <c:ext xmlns:c15="http://schemas.microsoft.com/office/drawing/2012/chart" uri="{02D57815-91ED-43cb-92C2-25804820EDAC}">
              <c15:datalabelsRange>
                <c15:f>('Pivot Report'!$C$38,'Pivot Report'!$C$39)</c15:f>
                <c15:dlblRangeCache>
                  <c:ptCount val="2"/>
                  <c:pt idx="0">
                    <c:v>52.44%</c:v>
                  </c:pt>
                  <c:pt idx="1">
                    <c:v>47.56%</c:v>
                  </c:pt>
                </c15:dlblRangeCache>
              </c15:datalabelsRange>
            </c:ext>
            <c:ext xmlns:c16="http://schemas.microsoft.com/office/drawing/2014/chart" uri="{C3380CC4-5D6E-409C-BE32-E72D297353CC}">
              <c16:uniqueId val="{00000000-9951-4B49-B06A-9E9B7676C433}"/>
            </c:ext>
          </c:extLst>
        </c:ser>
        <c:ser>
          <c:idx val="1"/>
          <c:order val="1"/>
          <c:tx>
            <c:strRef>
              <c:f>('Pivot Report'!$C$38,'Pivot Report'!$C$39)</c:f>
              <c:strCache>
                <c:ptCount val="1"/>
                <c:pt idx="0">
                  <c:v>Count of Patient Admission Flag2</c:v>
                </c:pt>
              </c:strCache>
            </c:strRef>
          </c:tx>
          <c:spPr>
            <a:noFill/>
            <a:ln>
              <a:noFill/>
            </a:ln>
            <a:effectLst>
              <a:outerShdw blurRad="57150" dist="19050" dir="5400000" algn="ctr" rotWithShape="0">
                <a:srgbClr val="000000">
                  <a:alpha val="63000"/>
                </a:srgbClr>
              </a:outerShdw>
            </a:effectLst>
          </c:spPr>
          <c:invertIfNegative val="0"/>
          <c:cat>
            <c:strRef>
              <c:f>('Pivot Report'!$C$38,'Pivot Report'!$C$39)</c:f>
              <c:strCache>
                <c:ptCount val="2"/>
                <c:pt idx="0">
                  <c:v>Admitted</c:v>
                </c:pt>
                <c:pt idx="1">
                  <c:v>Not Admitted</c:v>
                </c:pt>
              </c:strCache>
            </c:strRef>
          </c:cat>
          <c:val>
            <c:numRef>
              <c:f>('Pivot Report'!$C$38,'Pivot Report'!$C$39)</c:f>
              <c:numCache>
                <c:formatCode>0.00%</c:formatCode>
                <c:ptCount val="2"/>
                <c:pt idx="0">
                  <c:v>0.52436647173489281</c:v>
                </c:pt>
                <c:pt idx="1">
                  <c:v>0.47563352826510719</c:v>
                </c:pt>
              </c:numCache>
            </c:numRef>
          </c:val>
          <c:extLst>
            <c:ext xmlns:c16="http://schemas.microsoft.com/office/drawing/2014/chart" uri="{C3380CC4-5D6E-409C-BE32-E72D297353CC}">
              <c16:uniqueId val="{00000005-9951-4B49-B06A-9E9B7676C433}"/>
            </c:ext>
          </c:extLst>
        </c:ser>
        <c:dLbls>
          <c:showLegendKey val="0"/>
          <c:showVal val="0"/>
          <c:showCatName val="0"/>
          <c:showSerName val="0"/>
          <c:showPercent val="0"/>
          <c:showBubbleSize val="0"/>
        </c:dLbls>
        <c:gapWidth val="50"/>
        <c:axId val="223128464"/>
        <c:axId val="223128880"/>
      </c:barChart>
      <c:catAx>
        <c:axId val="223128464"/>
        <c:scaling>
          <c:orientation val="minMax"/>
        </c:scaling>
        <c:delete val="1"/>
        <c:axPos val="l"/>
        <c:numFmt formatCode="General" sourceLinked="1"/>
        <c:majorTickMark val="none"/>
        <c:minorTickMark val="none"/>
        <c:tickLblPos val="nextTo"/>
        <c:crossAx val="223128880"/>
        <c:crosses val="autoZero"/>
        <c:auto val="1"/>
        <c:lblAlgn val="ctr"/>
        <c:lblOffset val="100"/>
        <c:noMultiLvlLbl val="0"/>
      </c:catAx>
      <c:valAx>
        <c:axId val="223128880"/>
        <c:scaling>
          <c:orientation val="minMax"/>
        </c:scaling>
        <c:delete val="1"/>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2231284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1.xml"/><Relationship Id="rId13" Type="http://schemas.openxmlformats.org/officeDocument/2006/relationships/chart" Target="../charts/chart5.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chart" Target="../charts/chart4.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8.emf"/><Relationship Id="rId5" Type="http://schemas.openxmlformats.org/officeDocument/2006/relationships/image" Target="../media/image5.svg"/><Relationship Id="rId15" Type="http://schemas.openxmlformats.org/officeDocument/2006/relationships/chart" Target="../charts/chart7.xml"/><Relationship Id="rId10" Type="http://schemas.openxmlformats.org/officeDocument/2006/relationships/chart" Target="../charts/chart3.xml"/><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chart" Target="../charts/chart6.xml"/></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editAs="absolute">
    <xdr:from>
      <xdr:col>0</xdr:col>
      <xdr:colOff>114300</xdr:colOff>
      <xdr:row>0</xdr:row>
      <xdr:rowOff>114300</xdr:rowOff>
    </xdr:from>
    <xdr:to>
      <xdr:col>5</xdr:col>
      <xdr:colOff>251460</xdr:colOff>
      <xdr:row>3</xdr:row>
      <xdr:rowOff>13447</xdr:rowOff>
    </xdr:to>
    <xdr:sp macro="" textlink="">
      <xdr:nvSpPr>
        <xdr:cNvPr id="2" name="Rectangle: Rounded Corners 1">
          <a:extLst>
            <a:ext uri="{FF2B5EF4-FFF2-40B4-BE49-F238E27FC236}">
              <a16:creationId xmlns:a16="http://schemas.microsoft.com/office/drawing/2014/main" id="{551E7982-EE87-46EB-804A-ED3DAD88BA3F}"/>
            </a:ext>
          </a:extLst>
        </xdr:cNvPr>
        <xdr:cNvSpPr/>
      </xdr:nvSpPr>
      <xdr:spPr>
        <a:xfrm>
          <a:off x="114300" y="114300"/>
          <a:ext cx="3185160" cy="450476"/>
        </a:xfrm>
        <a:prstGeom prst="round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303455</xdr:colOff>
      <xdr:row>0</xdr:row>
      <xdr:rowOff>122817</xdr:rowOff>
    </xdr:from>
    <xdr:to>
      <xdr:col>7</xdr:col>
      <xdr:colOff>227255</xdr:colOff>
      <xdr:row>3</xdr:row>
      <xdr:rowOff>8965</xdr:rowOff>
    </xdr:to>
    <xdr:sp macro="" textlink="">
      <xdr:nvSpPr>
        <xdr:cNvPr id="3" name="Rectangle: Rounded Corners 2">
          <a:extLst>
            <a:ext uri="{FF2B5EF4-FFF2-40B4-BE49-F238E27FC236}">
              <a16:creationId xmlns:a16="http://schemas.microsoft.com/office/drawing/2014/main" id="{4AE5B8EC-5876-432E-9B95-135702164818}"/>
            </a:ext>
          </a:extLst>
        </xdr:cNvPr>
        <xdr:cNvSpPr/>
      </xdr:nvSpPr>
      <xdr:spPr>
        <a:xfrm>
          <a:off x="3351455" y="122817"/>
          <a:ext cx="1143000" cy="437477"/>
        </a:xfrm>
        <a:prstGeom prst="round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114300</xdr:colOff>
      <xdr:row>3</xdr:row>
      <xdr:rowOff>94130</xdr:rowOff>
    </xdr:from>
    <xdr:to>
      <xdr:col>1</xdr:col>
      <xdr:colOff>259080</xdr:colOff>
      <xdr:row>16</xdr:row>
      <xdr:rowOff>160020</xdr:rowOff>
    </xdr:to>
    <xdr:sp macro="" textlink="">
      <xdr:nvSpPr>
        <xdr:cNvPr id="4" name="Rectangle: Rounded Corners 3">
          <a:extLst>
            <a:ext uri="{FF2B5EF4-FFF2-40B4-BE49-F238E27FC236}">
              <a16:creationId xmlns:a16="http://schemas.microsoft.com/office/drawing/2014/main" id="{F02B1C8C-32A2-486A-9209-A3EE07FA563E}"/>
            </a:ext>
          </a:extLst>
        </xdr:cNvPr>
        <xdr:cNvSpPr/>
      </xdr:nvSpPr>
      <xdr:spPr>
        <a:xfrm>
          <a:off x="114300" y="645459"/>
          <a:ext cx="754380" cy="2454985"/>
        </a:xfrm>
        <a:prstGeom prst="round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307937</xdr:colOff>
      <xdr:row>0</xdr:row>
      <xdr:rowOff>122816</xdr:rowOff>
    </xdr:from>
    <xdr:to>
      <xdr:col>9</xdr:col>
      <xdr:colOff>286871</xdr:colOff>
      <xdr:row>6</xdr:row>
      <xdr:rowOff>170328</xdr:rowOff>
    </xdr:to>
    <xdr:sp macro="" textlink="">
      <xdr:nvSpPr>
        <xdr:cNvPr id="5" name="Rectangle: Rounded Corners 4">
          <a:extLst>
            <a:ext uri="{FF2B5EF4-FFF2-40B4-BE49-F238E27FC236}">
              <a16:creationId xmlns:a16="http://schemas.microsoft.com/office/drawing/2014/main" id="{876F21AE-27C1-411A-9BFB-7B94B1BB96C1}"/>
            </a:ext>
          </a:extLst>
        </xdr:cNvPr>
        <xdr:cNvSpPr/>
      </xdr:nvSpPr>
      <xdr:spPr>
        <a:xfrm>
          <a:off x="4575137" y="122816"/>
          <a:ext cx="1198134" cy="1150171"/>
        </a:xfrm>
        <a:prstGeom prst="round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375173</xdr:colOff>
      <xdr:row>0</xdr:row>
      <xdr:rowOff>122817</xdr:rowOff>
    </xdr:from>
    <xdr:to>
      <xdr:col>11</xdr:col>
      <xdr:colOff>354107</xdr:colOff>
      <xdr:row>6</xdr:row>
      <xdr:rowOff>174812</xdr:rowOff>
    </xdr:to>
    <xdr:sp macro="" textlink="">
      <xdr:nvSpPr>
        <xdr:cNvPr id="8" name="Rectangle: Rounded Corners 7">
          <a:extLst>
            <a:ext uri="{FF2B5EF4-FFF2-40B4-BE49-F238E27FC236}">
              <a16:creationId xmlns:a16="http://schemas.microsoft.com/office/drawing/2014/main" id="{48940E2A-07DD-443D-81A4-657DB000E681}"/>
            </a:ext>
          </a:extLst>
        </xdr:cNvPr>
        <xdr:cNvSpPr/>
      </xdr:nvSpPr>
      <xdr:spPr>
        <a:xfrm>
          <a:off x="5852368" y="122817"/>
          <a:ext cx="1196088" cy="1156639"/>
        </a:xfrm>
        <a:prstGeom prst="round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316902</xdr:colOff>
      <xdr:row>3</xdr:row>
      <xdr:rowOff>95923</xdr:rowOff>
    </xdr:from>
    <xdr:to>
      <xdr:col>3</xdr:col>
      <xdr:colOff>237565</xdr:colOff>
      <xdr:row>6</xdr:row>
      <xdr:rowOff>152400</xdr:rowOff>
    </xdr:to>
    <xdr:sp macro="" textlink="">
      <xdr:nvSpPr>
        <xdr:cNvPr id="9" name="Rectangle: Rounded Corners 8">
          <a:extLst>
            <a:ext uri="{FF2B5EF4-FFF2-40B4-BE49-F238E27FC236}">
              <a16:creationId xmlns:a16="http://schemas.microsoft.com/office/drawing/2014/main" id="{0D5899DF-2F96-47ED-B919-3B227E8FDC92}"/>
            </a:ext>
          </a:extLst>
        </xdr:cNvPr>
        <xdr:cNvSpPr/>
      </xdr:nvSpPr>
      <xdr:spPr>
        <a:xfrm>
          <a:off x="926502" y="647252"/>
          <a:ext cx="1139863" cy="607807"/>
        </a:xfrm>
        <a:prstGeom prst="round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298973</xdr:colOff>
      <xdr:row>3</xdr:row>
      <xdr:rowOff>100405</xdr:rowOff>
    </xdr:from>
    <xdr:to>
      <xdr:col>5</xdr:col>
      <xdr:colOff>237565</xdr:colOff>
      <xdr:row>6</xdr:row>
      <xdr:rowOff>156882</xdr:rowOff>
    </xdr:to>
    <xdr:sp macro="" textlink="">
      <xdr:nvSpPr>
        <xdr:cNvPr id="12" name="Rectangle: Rounded Corners 11">
          <a:extLst>
            <a:ext uri="{FF2B5EF4-FFF2-40B4-BE49-F238E27FC236}">
              <a16:creationId xmlns:a16="http://schemas.microsoft.com/office/drawing/2014/main" id="{7A9D0DE0-97DB-42FC-9B25-DFFF2A281577}"/>
            </a:ext>
          </a:extLst>
        </xdr:cNvPr>
        <xdr:cNvSpPr/>
      </xdr:nvSpPr>
      <xdr:spPr>
        <a:xfrm>
          <a:off x="2127773" y="651734"/>
          <a:ext cx="1157792" cy="607807"/>
        </a:xfrm>
        <a:prstGeom prst="round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295836</xdr:colOff>
      <xdr:row>3</xdr:row>
      <xdr:rowOff>95923</xdr:rowOff>
    </xdr:from>
    <xdr:to>
      <xdr:col>7</xdr:col>
      <xdr:colOff>224120</xdr:colOff>
      <xdr:row>6</xdr:row>
      <xdr:rowOff>152400</xdr:rowOff>
    </xdr:to>
    <xdr:sp macro="" textlink="">
      <xdr:nvSpPr>
        <xdr:cNvPr id="13" name="Rectangle: Rounded Corners 12">
          <a:extLst>
            <a:ext uri="{FF2B5EF4-FFF2-40B4-BE49-F238E27FC236}">
              <a16:creationId xmlns:a16="http://schemas.microsoft.com/office/drawing/2014/main" id="{2C4A47E2-7D51-47B0-AB1F-5FA3DAB7BDAC}"/>
            </a:ext>
          </a:extLst>
        </xdr:cNvPr>
        <xdr:cNvSpPr/>
      </xdr:nvSpPr>
      <xdr:spPr>
        <a:xfrm>
          <a:off x="3343836" y="647252"/>
          <a:ext cx="1147484" cy="607807"/>
        </a:xfrm>
        <a:prstGeom prst="round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316902</xdr:colOff>
      <xdr:row>10</xdr:row>
      <xdr:rowOff>37652</xdr:rowOff>
    </xdr:from>
    <xdr:to>
      <xdr:col>7</xdr:col>
      <xdr:colOff>242047</xdr:colOff>
      <xdr:row>16</xdr:row>
      <xdr:rowOff>143435</xdr:rowOff>
    </xdr:to>
    <xdr:sp macro="" textlink="">
      <xdr:nvSpPr>
        <xdr:cNvPr id="15" name="Rectangle: Rounded Corners 14">
          <a:extLst>
            <a:ext uri="{FF2B5EF4-FFF2-40B4-BE49-F238E27FC236}">
              <a16:creationId xmlns:a16="http://schemas.microsoft.com/office/drawing/2014/main" id="{C3930700-A3F3-4EA1-9C61-AAF3D271FEC4}"/>
            </a:ext>
          </a:extLst>
        </xdr:cNvPr>
        <xdr:cNvSpPr/>
      </xdr:nvSpPr>
      <xdr:spPr>
        <a:xfrm>
          <a:off x="926502" y="1875417"/>
          <a:ext cx="3582745" cy="1208442"/>
        </a:xfrm>
        <a:prstGeom prst="roundRect">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307937</xdr:colOff>
      <xdr:row>7</xdr:row>
      <xdr:rowOff>33169</xdr:rowOff>
    </xdr:from>
    <xdr:to>
      <xdr:col>11</xdr:col>
      <xdr:colOff>367553</xdr:colOff>
      <xdr:row>16</xdr:row>
      <xdr:rowOff>129988</xdr:rowOff>
    </xdr:to>
    <xdr:sp macro="" textlink="">
      <xdr:nvSpPr>
        <xdr:cNvPr id="16" name="Rectangle: Rounded Corners 15">
          <a:extLst>
            <a:ext uri="{FF2B5EF4-FFF2-40B4-BE49-F238E27FC236}">
              <a16:creationId xmlns:a16="http://schemas.microsoft.com/office/drawing/2014/main" id="{CC1307CE-B95F-4EF1-83C1-8FD69BCECF89}"/>
            </a:ext>
          </a:extLst>
        </xdr:cNvPr>
        <xdr:cNvSpPr/>
      </xdr:nvSpPr>
      <xdr:spPr>
        <a:xfrm>
          <a:off x="4575137" y="1319604"/>
          <a:ext cx="2498016" cy="1750808"/>
        </a:xfrm>
        <a:prstGeom prst="round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31376</xdr:colOff>
      <xdr:row>0</xdr:row>
      <xdr:rowOff>134471</xdr:rowOff>
    </xdr:from>
    <xdr:to>
      <xdr:col>5</xdr:col>
      <xdr:colOff>230134</xdr:colOff>
      <xdr:row>1</xdr:row>
      <xdr:rowOff>170330</xdr:rowOff>
    </xdr:to>
    <xdr:sp macro="" textlink="">
      <xdr:nvSpPr>
        <xdr:cNvPr id="17" name="TextBox 16">
          <a:extLst>
            <a:ext uri="{FF2B5EF4-FFF2-40B4-BE49-F238E27FC236}">
              <a16:creationId xmlns:a16="http://schemas.microsoft.com/office/drawing/2014/main" id="{6EAB37B0-E478-4C99-B6C9-140D62972273}"/>
            </a:ext>
          </a:extLst>
        </xdr:cNvPr>
        <xdr:cNvSpPr txBox="1"/>
      </xdr:nvSpPr>
      <xdr:spPr>
        <a:xfrm>
          <a:off x="639953" y="134471"/>
          <a:ext cx="2633067" cy="2199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200" b="1">
              <a:solidFill>
                <a:schemeClr val="accent1">
                  <a:lumMod val="50000"/>
                </a:schemeClr>
              </a:solidFill>
              <a:latin typeface="Times New Roman" panose="02020603050405020304" pitchFamily="18" charset="0"/>
              <a:cs typeface="Times New Roman" panose="02020603050405020304" pitchFamily="18" charset="0"/>
            </a:rPr>
            <a:t>Hospital Emergency Room DashBoard</a:t>
          </a:r>
        </a:p>
      </xdr:txBody>
    </xdr:sp>
    <xdr:clientData/>
  </xdr:twoCellAnchor>
  <xdr:twoCellAnchor editAs="oneCell">
    <xdr:from>
      <xdr:col>0</xdr:col>
      <xdr:colOff>5856</xdr:colOff>
      <xdr:row>0</xdr:row>
      <xdr:rowOff>117696</xdr:rowOff>
    </xdr:from>
    <xdr:to>
      <xdr:col>1</xdr:col>
      <xdr:colOff>170329</xdr:colOff>
      <xdr:row>2</xdr:row>
      <xdr:rowOff>179926</xdr:rowOff>
    </xdr:to>
    <xdr:pic>
      <xdr:nvPicPr>
        <xdr:cNvPr id="19" name="Picture 18">
          <a:extLst>
            <a:ext uri="{FF2B5EF4-FFF2-40B4-BE49-F238E27FC236}">
              <a16:creationId xmlns:a16="http://schemas.microsoft.com/office/drawing/2014/main" id="{BCECA988-3B5D-4F68-9005-EA06C618620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0800000" flipV="1">
          <a:off x="5856" y="117696"/>
          <a:ext cx="774073" cy="429783"/>
        </a:xfrm>
        <a:prstGeom prst="rect">
          <a:avLst/>
        </a:prstGeom>
      </xdr:spPr>
    </xdr:pic>
    <xdr:clientData/>
  </xdr:twoCellAnchor>
  <xdr:twoCellAnchor editAs="absolute">
    <xdr:from>
      <xdr:col>2</xdr:col>
      <xdr:colOff>233082</xdr:colOff>
      <xdr:row>1</xdr:row>
      <xdr:rowOff>138954</xdr:rowOff>
    </xdr:from>
    <xdr:to>
      <xdr:col>4</xdr:col>
      <xdr:colOff>143435</xdr:colOff>
      <xdr:row>2</xdr:row>
      <xdr:rowOff>125506</xdr:rowOff>
    </xdr:to>
    <xdr:sp macro="" textlink="">
      <xdr:nvSpPr>
        <xdr:cNvPr id="21" name="TextBox 20">
          <a:extLst>
            <a:ext uri="{FF2B5EF4-FFF2-40B4-BE49-F238E27FC236}">
              <a16:creationId xmlns:a16="http://schemas.microsoft.com/office/drawing/2014/main" id="{4D6C2CBF-608F-4F42-9E27-A2A8DDD273E1}"/>
            </a:ext>
          </a:extLst>
        </xdr:cNvPr>
        <xdr:cNvSpPr txBox="1"/>
      </xdr:nvSpPr>
      <xdr:spPr>
        <a:xfrm>
          <a:off x="1452282" y="322730"/>
          <a:ext cx="1129553" cy="1703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000" b="0">
              <a:solidFill>
                <a:schemeClr val="accent1">
                  <a:lumMod val="50000"/>
                </a:schemeClr>
              </a:solidFill>
              <a:latin typeface="Times New Roman" panose="02020603050405020304" pitchFamily="18" charset="0"/>
              <a:cs typeface="Times New Roman" panose="02020603050405020304" pitchFamily="18" charset="0"/>
            </a:rPr>
            <a:t>Monthly</a:t>
          </a:r>
          <a:r>
            <a:rPr lang="en-IN" sz="1000" b="0" baseline="0">
              <a:solidFill>
                <a:schemeClr val="accent1">
                  <a:lumMod val="50000"/>
                </a:schemeClr>
              </a:solidFill>
              <a:latin typeface="Times New Roman" panose="02020603050405020304" pitchFamily="18" charset="0"/>
              <a:cs typeface="Times New Roman" panose="02020603050405020304" pitchFamily="18" charset="0"/>
            </a:rPr>
            <a:t> Report</a:t>
          </a:r>
          <a:endParaRPr lang="en-IN" sz="1000" b="0">
            <a:solidFill>
              <a:schemeClr val="accent1">
                <a:lumMod val="50000"/>
              </a:schemeClr>
            </a:solidFill>
            <a:latin typeface="Times New Roman" panose="02020603050405020304" pitchFamily="18" charset="0"/>
            <a:cs typeface="Times New Roman" panose="02020603050405020304" pitchFamily="18" charset="0"/>
          </a:endParaRPr>
        </a:p>
      </xdr:txBody>
    </xdr:sp>
    <xdr:clientData/>
  </xdr:twoCellAnchor>
  <xdr:twoCellAnchor>
    <xdr:from>
      <xdr:col>1</xdr:col>
      <xdr:colOff>525658</xdr:colOff>
      <xdr:row>4</xdr:row>
      <xdr:rowOff>93316</xdr:rowOff>
    </xdr:from>
    <xdr:to>
      <xdr:col>3</xdr:col>
      <xdr:colOff>162588</xdr:colOff>
      <xdr:row>5</xdr:row>
      <xdr:rowOff>79869</xdr:rowOff>
    </xdr:to>
    <xdr:sp macro="" textlink="">
      <xdr:nvSpPr>
        <xdr:cNvPr id="25" name="TextBox 24">
          <a:extLst>
            <a:ext uri="{FF2B5EF4-FFF2-40B4-BE49-F238E27FC236}">
              <a16:creationId xmlns:a16="http://schemas.microsoft.com/office/drawing/2014/main" id="{47C6AF9A-5A15-4B40-8FDE-ED481563A0DD}"/>
            </a:ext>
          </a:extLst>
        </xdr:cNvPr>
        <xdr:cNvSpPr txBox="1"/>
      </xdr:nvSpPr>
      <xdr:spPr>
        <a:xfrm>
          <a:off x="1135258" y="813752"/>
          <a:ext cx="856130" cy="166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000" b="0">
              <a:solidFill>
                <a:schemeClr val="accent1">
                  <a:lumMod val="50000"/>
                </a:schemeClr>
              </a:solidFill>
              <a:latin typeface="Times New Roman" panose="02020603050405020304" pitchFamily="18" charset="0"/>
              <a:cs typeface="Times New Roman" panose="02020603050405020304" pitchFamily="18" charset="0"/>
            </a:rPr>
            <a:t>No.</a:t>
          </a:r>
          <a:r>
            <a:rPr lang="en-IN" sz="1000" b="0" baseline="0">
              <a:solidFill>
                <a:schemeClr val="accent1">
                  <a:lumMod val="50000"/>
                </a:schemeClr>
              </a:solidFill>
              <a:latin typeface="Times New Roman" panose="02020603050405020304" pitchFamily="18" charset="0"/>
              <a:cs typeface="Times New Roman" panose="02020603050405020304" pitchFamily="18" charset="0"/>
            </a:rPr>
            <a:t> of Patients</a:t>
          </a:r>
        </a:p>
        <a:p>
          <a:endParaRPr lang="en-IN" sz="1000" b="0">
            <a:solidFill>
              <a:schemeClr val="accent1">
                <a:lumMod val="50000"/>
              </a:schemeClr>
            </a:solidFill>
            <a:latin typeface="Times New Roman" panose="02020603050405020304" pitchFamily="18" charset="0"/>
            <a:cs typeface="Times New Roman" panose="02020603050405020304" pitchFamily="18" charset="0"/>
          </a:endParaRPr>
        </a:p>
      </xdr:txBody>
    </xdr:sp>
    <xdr:clientData/>
  </xdr:twoCellAnchor>
  <xdr:twoCellAnchor>
    <xdr:from>
      <xdr:col>1</xdr:col>
      <xdr:colOff>475945</xdr:colOff>
      <xdr:row>3</xdr:row>
      <xdr:rowOff>96168</xdr:rowOff>
    </xdr:from>
    <xdr:to>
      <xdr:col>3</xdr:col>
      <xdr:colOff>112875</xdr:colOff>
      <xdr:row>4</xdr:row>
      <xdr:rowOff>82721</xdr:rowOff>
    </xdr:to>
    <xdr:sp macro="" textlink="'Pivot Report'!A3">
      <xdr:nvSpPr>
        <xdr:cNvPr id="28" name="TextBox 27">
          <a:extLst>
            <a:ext uri="{FF2B5EF4-FFF2-40B4-BE49-F238E27FC236}">
              <a16:creationId xmlns:a16="http://schemas.microsoft.com/office/drawing/2014/main" id="{0B9F456C-16AF-4B5D-9D71-E8474621F937}"/>
            </a:ext>
          </a:extLst>
        </xdr:cNvPr>
        <xdr:cNvSpPr txBox="1"/>
      </xdr:nvSpPr>
      <xdr:spPr>
        <a:xfrm>
          <a:off x="1085545" y="636495"/>
          <a:ext cx="856130" cy="166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FF5BCBD5-989A-41AF-B354-12BC7DA1DD55}" type="TxLink">
            <a:rPr lang="en-US" sz="1100" b="0" i="0" u="none" strike="noStrike">
              <a:solidFill>
                <a:schemeClr val="accent1">
                  <a:lumMod val="50000"/>
                </a:schemeClr>
              </a:solidFill>
              <a:latin typeface="Calibri"/>
              <a:ea typeface="Calibri"/>
              <a:cs typeface="Calibri"/>
            </a:rPr>
            <a:pPr algn="ctr"/>
            <a:t>513</a:t>
          </a:fld>
          <a:endParaRPr lang="en-IN" sz="1000" b="0">
            <a:solidFill>
              <a:schemeClr val="accent1">
                <a:lumMod val="50000"/>
              </a:schemeClr>
            </a:solidFill>
            <a:latin typeface="Times New Roman" panose="02020603050405020304" pitchFamily="18" charset="0"/>
            <a:cs typeface="Times New Roman" panose="02020603050405020304" pitchFamily="18" charset="0"/>
          </a:endParaRPr>
        </a:p>
      </xdr:txBody>
    </xdr:sp>
    <xdr:clientData/>
  </xdr:twoCellAnchor>
  <xdr:twoCellAnchor editAs="absolute">
    <xdr:from>
      <xdr:col>3</xdr:col>
      <xdr:colOff>466166</xdr:colOff>
      <xdr:row>4</xdr:row>
      <xdr:rowOff>76909</xdr:rowOff>
    </xdr:from>
    <xdr:to>
      <xdr:col>5</xdr:col>
      <xdr:colOff>206188</xdr:colOff>
      <xdr:row>5</xdr:row>
      <xdr:rowOff>63461</xdr:rowOff>
    </xdr:to>
    <xdr:sp macro="" textlink="">
      <xdr:nvSpPr>
        <xdr:cNvPr id="29" name="TextBox 28">
          <a:extLst>
            <a:ext uri="{FF2B5EF4-FFF2-40B4-BE49-F238E27FC236}">
              <a16:creationId xmlns:a16="http://schemas.microsoft.com/office/drawing/2014/main" id="{D21E04F4-9CB1-4A27-A884-D3B0AF7CE451}"/>
            </a:ext>
          </a:extLst>
        </xdr:cNvPr>
        <xdr:cNvSpPr txBox="1"/>
      </xdr:nvSpPr>
      <xdr:spPr>
        <a:xfrm>
          <a:off x="2294966" y="814846"/>
          <a:ext cx="959222" cy="1710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000" b="0">
              <a:solidFill>
                <a:schemeClr val="accent1">
                  <a:lumMod val="50000"/>
                </a:schemeClr>
              </a:solidFill>
              <a:latin typeface="Times New Roman" panose="02020603050405020304" pitchFamily="18" charset="0"/>
              <a:cs typeface="Times New Roman" panose="02020603050405020304" pitchFamily="18" charset="0"/>
            </a:rPr>
            <a:t>Patient</a:t>
          </a:r>
          <a:r>
            <a:rPr lang="en-IN" sz="1000" b="0" baseline="0">
              <a:solidFill>
                <a:schemeClr val="accent1">
                  <a:lumMod val="50000"/>
                </a:schemeClr>
              </a:solidFill>
              <a:latin typeface="Times New Roman" panose="02020603050405020304" pitchFamily="18" charset="0"/>
              <a:cs typeface="Times New Roman" panose="02020603050405020304" pitchFamily="18" charset="0"/>
            </a:rPr>
            <a:t> Wait Time</a:t>
          </a:r>
          <a:endParaRPr lang="en-IN" sz="1000" b="0">
            <a:solidFill>
              <a:schemeClr val="accent1">
                <a:lumMod val="50000"/>
              </a:schemeClr>
            </a:solidFill>
            <a:latin typeface="Times New Roman" panose="02020603050405020304" pitchFamily="18" charset="0"/>
            <a:cs typeface="Times New Roman" panose="02020603050405020304" pitchFamily="18" charset="0"/>
          </a:endParaRPr>
        </a:p>
      </xdr:txBody>
    </xdr:sp>
    <xdr:clientData/>
  </xdr:twoCellAnchor>
  <xdr:twoCellAnchor>
    <xdr:from>
      <xdr:col>3</xdr:col>
      <xdr:colOff>466166</xdr:colOff>
      <xdr:row>3</xdr:row>
      <xdr:rowOff>104039</xdr:rowOff>
    </xdr:from>
    <xdr:to>
      <xdr:col>5</xdr:col>
      <xdr:colOff>103096</xdr:colOff>
      <xdr:row>4</xdr:row>
      <xdr:rowOff>90592</xdr:rowOff>
    </xdr:to>
    <xdr:sp macro="" textlink="'Pivot Report'!A7">
      <xdr:nvSpPr>
        <xdr:cNvPr id="30" name="TextBox 29">
          <a:extLst>
            <a:ext uri="{FF2B5EF4-FFF2-40B4-BE49-F238E27FC236}">
              <a16:creationId xmlns:a16="http://schemas.microsoft.com/office/drawing/2014/main" id="{E21623E8-7CD6-4505-A990-31A5EA6E7799}"/>
            </a:ext>
          </a:extLst>
        </xdr:cNvPr>
        <xdr:cNvSpPr txBox="1"/>
      </xdr:nvSpPr>
      <xdr:spPr>
        <a:xfrm>
          <a:off x="2294966" y="657492"/>
          <a:ext cx="856130" cy="1710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BB99E43B-2E91-47BB-8A28-A8B505800C81}" type="TxLink">
            <a:rPr lang="en-US" sz="1100" b="0" i="0" u="none" strike="noStrike">
              <a:solidFill>
                <a:schemeClr val="accent1">
                  <a:lumMod val="50000"/>
                </a:schemeClr>
              </a:solidFill>
              <a:latin typeface="Calibri"/>
              <a:ea typeface="Calibri"/>
              <a:cs typeface="Calibri"/>
            </a:rPr>
            <a:pPr algn="ctr"/>
            <a:t>36.32</a:t>
          </a:fld>
          <a:endParaRPr lang="en-IN" sz="1000" b="0">
            <a:solidFill>
              <a:schemeClr val="accent1">
                <a:lumMod val="50000"/>
              </a:schemeClr>
            </a:solidFill>
            <a:latin typeface="Times New Roman" panose="02020603050405020304" pitchFamily="18" charset="0"/>
            <a:cs typeface="Times New Roman" panose="02020603050405020304" pitchFamily="18" charset="0"/>
          </a:endParaRPr>
        </a:p>
      </xdr:txBody>
    </xdr:sp>
    <xdr:clientData/>
  </xdr:twoCellAnchor>
  <xdr:twoCellAnchor>
    <xdr:from>
      <xdr:col>5</xdr:col>
      <xdr:colOff>383360</xdr:colOff>
      <xdr:row>3</xdr:row>
      <xdr:rowOff>124091</xdr:rowOff>
    </xdr:from>
    <xdr:to>
      <xdr:col>7</xdr:col>
      <xdr:colOff>20290</xdr:colOff>
      <xdr:row>4</xdr:row>
      <xdr:rowOff>110644</xdr:rowOff>
    </xdr:to>
    <xdr:sp macro="" textlink="'Pivot Report'!A11">
      <xdr:nvSpPr>
        <xdr:cNvPr id="31" name="TextBox 30">
          <a:extLst>
            <a:ext uri="{FF2B5EF4-FFF2-40B4-BE49-F238E27FC236}">
              <a16:creationId xmlns:a16="http://schemas.microsoft.com/office/drawing/2014/main" id="{074645CB-F3C2-42EB-966D-CE697E959FD7}"/>
            </a:ext>
          </a:extLst>
        </xdr:cNvPr>
        <xdr:cNvSpPr txBox="1"/>
      </xdr:nvSpPr>
      <xdr:spPr>
        <a:xfrm>
          <a:off x="3431360" y="677544"/>
          <a:ext cx="856130" cy="1710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189AA628-2051-40E2-92D8-2766ED395964}" type="TxLink">
            <a:rPr lang="en-US" sz="1000" b="0">
              <a:solidFill>
                <a:schemeClr val="accent1">
                  <a:lumMod val="50000"/>
                </a:schemeClr>
              </a:solidFill>
              <a:latin typeface="Times New Roman" panose="02020603050405020304" pitchFamily="18" charset="0"/>
              <a:cs typeface="Times New Roman" panose="02020603050405020304" pitchFamily="18" charset="0"/>
            </a:rPr>
            <a:pPr algn="ctr"/>
            <a:t>4.96</a:t>
          </a:fld>
          <a:endParaRPr lang="en-IN" sz="1000" b="0">
            <a:solidFill>
              <a:schemeClr val="accent1">
                <a:lumMod val="50000"/>
              </a:schemeClr>
            </a:solidFill>
            <a:latin typeface="Times New Roman" panose="02020603050405020304" pitchFamily="18" charset="0"/>
            <a:cs typeface="Times New Roman" panose="02020603050405020304" pitchFamily="18" charset="0"/>
          </a:endParaRPr>
        </a:p>
      </xdr:txBody>
    </xdr:sp>
    <xdr:clientData/>
  </xdr:twoCellAnchor>
  <xdr:twoCellAnchor editAs="absolute">
    <xdr:from>
      <xdr:col>5</xdr:col>
      <xdr:colOff>315998</xdr:colOff>
      <xdr:row>4</xdr:row>
      <xdr:rowOff>96285</xdr:rowOff>
    </xdr:from>
    <xdr:to>
      <xdr:col>7</xdr:col>
      <xdr:colOff>159116</xdr:colOff>
      <xdr:row>5</xdr:row>
      <xdr:rowOff>82837</xdr:rowOff>
    </xdr:to>
    <xdr:sp macro="" textlink="">
      <xdr:nvSpPr>
        <xdr:cNvPr id="32" name="TextBox 31">
          <a:extLst>
            <a:ext uri="{FF2B5EF4-FFF2-40B4-BE49-F238E27FC236}">
              <a16:creationId xmlns:a16="http://schemas.microsoft.com/office/drawing/2014/main" id="{A51EEE13-90F4-4955-B70C-9480F2C1FC99}"/>
            </a:ext>
          </a:extLst>
        </xdr:cNvPr>
        <xdr:cNvSpPr txBox="1"/>
      </xdr:nvSpPr>
      <xdr:spPr>
        <a:xfrm>
          <a:off x="3363998" y="827805"/>
          <a:ext cx="1062318" cy="1694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000" b="0">
              <a:solidFill>
                <a:schemeClr val="accent1">
                  <a:lumMod val="50000"/>
                </a:schemeClr>
              </a:solidFill>
              <a:latin typeface="Times New Roman" panose="02020603050405020304" pitchFamily="18" charset="0"/>
              <a:cs typeface="Times New Roman" panose="02020603050405020304" pitchFamily="18" charset="0"/>
            </a:rPr>
            <a:t>Patient</a:t>
          </a:r>
          <a:r>
            <a:rPr lang="en-IN" sz="1000" b="0" baseline="0">
              <a:solidFill>
                <a:schemeClr val="accent1">
                  <a:lumMod val="50000"/>
                </a:schemeClr>
              </a:solidFill>
              <a:latin typeface="Times New Roman" panose="02020603050405020304" pitchFamily="18" charset="0"/>
              <a:cs typeface="Times New Roman" panose="02020603050405020304" pitchFamily="18" charset="0"/>
            </a:rPr>
            <a:t> Satisfaction</a:t>
          </a:r>
          <a:endParaRPr lang="en-IN" sz="1000" b="0">
            <a:solidFill>
              <a:schemeClr val="accent1">
                <a:lumMod val="50000"/>
              </a:schemeClr>
            </a:solidFill>
            <a:latin typeface="Times New Roman" panose="02020603050405020304" pitchFamily="18" charset="0"/>
            <a:cs typeface="Times New Roman" panose="02020603050405020304" pitchFamily="18" charset="0"/>
          </a:endParaRPr>
        </a:p>
      </xdr:txBody>
    </xdr:sp>
    <xdr:clientData/>
  </xdr:twoCellAnchor>
  <xdr:twoCellAnchor editAs="absolute">
    <xdr:from>
      <xdr:col>1</xdr:col>
      <xdr:colOff>340658</xdr:colOff>
      <xdr:row>3</xdr:row>
      <xdr:rowOff>121024</xdr:rowOff>
    </xdr:from>
    <xdr:to>
      <xdr:col>1</xdr:col>
      <xdr:colOff>510986</xdr:colOff>
      <xdr:row>4</xdr:row>
      <xdr:rowOff>107575</xdr:rowOff>
    </xdr:to>
    <xdr:pic>
      <xdr:nvPicPr>
        <xdr:cNvPr id="34" name="Graphic 33" descr="User with solid fill">
          <a:extLst>
            <a:ext uri="{FF2B5EF4-FFF2-40B4-BE49-F238E27FC236}">
              <a16:creationId xmlns:a16="http://schemas.microsoft.com/office/drawing/2014/main" id="{AA66FDDD-10F8-4102-914E-3147C18C760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950258" y="672353"/>
          <a:ext cx="170328" cy="170328"/>
        </a:xfrm>
        <a:prstGeom prst="rect">
          <a:avLst/>
        </a:prstGeom>
      </xdr:spPr>
    </xdr:pic>
    <xdr:clientData/>
  </xdr:twoCellAnchor>
  <xdr:twoCellAnchor editAs="absolute">
    <xdr:from>
      <xdr:col>3</xdr:col>
      <xdr:colOff>336176</xdr:colOff>
      <xdr:row>3</xdr:row>
      <xdr:rowOff>129988</xdr:rowOff>
    </xdr:from>
    <xdr:to>
      <xdr:col>3</xdr:col>
      <xdr:colOff>506506</xdr:colOff>
      <xdr:row>4</xdr:row>
      <xdr:rowOff>116541</xdr:rowOff>
    </xdr:to>
    <xdr:pic>
      <xdr:nvPicPr>
        <xdr:cNvPr id="42" name="Graphic 41" descr="Stopwatch with solid fill">
          <a:extLst>
            <a:ext uri="{FF2B5EF4-FFF2-40B4-BE49-F238E27FC236}">
              <a16:creationId xmlns:a16="http://schemas.microsoft.com/office/drawing/2014/main" id="{A64F8B7E-3AB2-4C63-A862-EEBA85FA21BE}"/>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2164976" y="681317"/>
          <a:ext cx="170330" cy="170330"/>
        </a:xfrm>
        <a:prstGeom prst="rect">
          <a:avLst/>
        </a:prstGeom>
      </xdr:spPr>
    </xdr:pic>
    <xdr:clientData/>
  </xdr:twoCellAnchor>
  <xdr:twoCellAnchor editAs="absolute">
    <xdr:from>
      <xdr:col>5</xdr:col>
      <xdr:colOff>336176</xdr:colOff>
      <xdr:row>3</xdr:row>
      <xdr:rowOff>112059</xdr:rowOff>
    </xdr:from>
    <xdr:to>
      <xdr:col>5</xdr:col>
      <xdr:colOff>519953</xdr:colOff>
      <xdr:row>4</xdr:row>
      <xdr:rowOff>112059</xdr:rowOff>
    </xdr:to>
    <xdr:pic>
      <xdr:nvPicPr>
        <xdr:cNvPr id="44" name="Graphic 43" descr="Upward trend with solid fill">
          <a:extLst>
            <a:ext uri="{FF2B5EF4-FFF2-40B4-BE49-F238E27FC236}">
              <a16:creationId xmlns:a16="http://schemas.microsoft.com/office/drawing/2014/main" id="{798F27E6-D7F8-4EE6-AD19-9E1D5C23564A}"/>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3384176" y="663388"/>
          <a:ext cx="183777" cy="183777"/>
        </a:xfrm>
        <a:prstGeom prst="rect">
          <a:avLst/>
        </a:prstGeom>
      </xdr:spPr>
    </xdr:pic>
    <xdr:clientData/>
  </xdr:twoCellAnchor>
  <xdr:twoCellAnchor editAs="oneCell">
    <xdr:from>
      <xdr:col>0</xdr:col>
      <xdr:colOff>218004</xdr:colOff>
      <xdr:row>3</xdr:row>
      <xdr:rowOff>173593</xdr:rowOff>
    </xdr:from>
    <xdr:to>
      <xdr:col>1</xdr:col>
      <xdr:colOff>139854</xdr:colOff>
      <xdr:row>16</xdr:row>
      <xdr:rowOff>64175</xdr:rowOff>
    </xdr:to>
    <mc:AlternateContent xmlns:mc="http://schemas.openxmlformats.org/markup-compatibility/2006" xmlns:a14="http://schemas.microsoft.com/office/drawing/2010/main">
      <mc:Choice Requires="a14">
        <xdr:graphicFrame macro="">
          <xdr:nvGraphicFramePr>
            <xdr:cNvPr id="45" name="Date (Month)">
              <a:extLst>
                <a:ext uri="{FF2B5EF4-FFF2-40B4-BE49-F238E27FC236}">
                  <a16:creationId xmlns:a16="http://schemas.microsoft.com/office/drawing/2014/main" id="{32A1DCB3-24CA-4511-A010-C68310710B3A}"/>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218004" y="725915"/>
              <a:ext cx="530427" cy="22839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230505</xdr:colOff>
      <xdr:row>4</xdr:row>
      <xdr:rowOff>131099</xdr:rowOff>
    </xdr:from>
    <xdr:to>
      <xdr:col>3</xdr:col>
      <xdr:colOff>337185</xdr:colOff>
      <xdr:row>7</xdr:row>
      <xdr:rowOff>64770</xdr:rowOff>
    </xdr:to>
    <xdr:graphicFrame macro="">
      <xdr:nvGraphicFramePr>
        <xdr:cNvPr id="46" name="Chart 45">
          <a:extLst>
            <a:ext uri="{FF2B5EF4-FFF2-40B4-BE49-F238E27FC236}">
              <a16:creationId xmlns:a16="http://schemas.microsoft.com/office/drawing/2014/main" id="{3D4814AE-B63D-436F-A04A-7B02A381E6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220650</xdr:colOff>
      <xdr:row>4</xdr:row>
      <xdr:rowOff>97168</xdr:rowOff>
    </xdr:from>
    <xdr:to>
      <xdr:col>7</xdr:col>
      <xdr:colOff>328864</xdr:colOff>
      <xdr:row>7</xdr:row>
      <xdr:rowOff>80212</xdr:rowOff>
    </xdr:to>
    <xdr:graphicFrame macro="">
      <xdr:nvGraphicFramePr>
        <xdr:cNvPr id="48" name="Chart 47">
          <a:extLst>
            <a:ext uri="{FF2B5EF4-FFF2-40B4-BE49-F238E27FC236}">
              <a16:creationId xmlns:a16="http://schemas.microsoft.com/office/drawing/2014/main" id="{79CA5E1D-9CD2-45E0-B8F9-12454ABE89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194335</xdr:colOff>
      <xdr:row>4</xdr:row>
      <xdr:rowOff>132965</xdr:rowOff>
    </xdr:from>
    <xdr:to>
      <xdr:col>5</xdr:col>
      <xdr:colOff>337530</xdr:colOff>
      <xdr:row>7</xdr:row>
      <xdr:rowOff>61369</xdr:rowOff>
    </xdr:to>
    <xdr:graphicFrame macro="">
      <xdr:nvGraphicFramePr>
        <xdr:cNvPr id="49" name="Chart 48">
          <a:extLst>
            <a:ext uri="{FF2B5EF4-FFF2-40B4-BE49-F238E27FC236}">
              <a16:creationId xmlns:a16="http://schemas.microsoft.com/office/drawing/2014/main" id="{996CAE93-C3FE-43D2-93A3-61DA8B9B84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342644</xdr:colOff>
          <xdr:row>7</xdr:row>
          <xdr:rowOff>19032</xdr:rowOff>
        </xdr:from>
        <xdr:to>
          <xdr:col>7</xdr:col>
          <xdr:colOff>235248</xdr:colOff>
          <xdr:row>9</xdr:row>
          <xdr:rowOff>153423</xdr:rowOff>
        </xdr:to>
        <xdr:pic>
          <xdr:nvPicPr>
            <xdr:cNvPr id="37" name="Picture 36">
              <a:extLst>
                <a:ext uri="{FF2B5EF4-FFF2-40B4-BE49-F238E27FC236}">
                  <a16:creationId xmlns:a16="http://schemas.microsoft.com/office/drawing/2014/main" id="{CB81CC57-CB34-4EA5-AE03-2F38B64D3065}"/>
                </a:ext>
              </a:extLst>
            </xdr:cNvPr>
            <xdr:cNvPicPr>
              <a:picLocks noChangeAspect="1" noChangeArrowheads="1"/>
              <a:extLst>
                <a:ext uri="{84589F7E-364E-4C9E-8A38-B11213B215E9}">
                  <a14:cameraTool cellRange="'Pivot Report'!$M$2:$P$4" spid="_x0000_s1137"/>
                </a:ext>
              </a:extLst>
            </xdr:cNvPicPr>
          </xdr:nvPicPr>
          <xdr:blipFill>
            <a:blip xmlns:r="http://schemas.openxmlformats.org/officeDocument/2006/relationships" r:embed="rId11"/>
            <a:srcRect/>
            <a:stretch>
              <a:fillRect/>
            </a:stretch>
          </xdr:blipFill>
          <xdr:spPr bwMode="auto">
            <a:xfrm>
              <a:off x="951221" y="1307784"/>
              <a:ext cx="3544067" cy="502605"/>
            </a:xfrm>
            <a:prstGeom prst="rect">
              <a:avLst/>
            </a:prstGeom>
            <a:solidFill>
              <a:schemeClr val="bg2"/>
            </a:solidFill>
            <a:ln>
              <a:noFill/>
            </a:ln>
            <a:effectLst>
              <a:outerShdw blurRad="292100" dist="139700" dir="2700000" algn="tl" rotWithShape="0">
                <a:srgbClr val="333333">
                  <a:alpha val="65000"/>
                </a:srgbClr>
              </a:outerShdw>
            </a:effectLst>
          </xdr:spPr>
        </xdr:pic>
        <xdr:clientData/>
      </xdr:twoCellAnchor>
    </mc:Choice>
    <mc:Fallback/>
  </mc:AlternateContent>
  <xdr:twoCellAnchor>
    <xdr:from>
      <xdr:col>1</xdr:col>
      <xdr:colOff>338383</xdr:colOff>
      <xdr:row>10</xdr:row>
      <xdr:rowOff>163651</xdr:rowOff>
    </xdr:from>
    <xdr:to>
      <xdr:col>7</xdr:col>
      <xdr:colOff>214792</xdr:colOff>
      <xdr:row>16</xdr:row>
      <xdr:rowOff>127852</xdr:rowOff>
    </xdr:to>
    <xdr:graphicFrame macro="">
      <xdr:nvGraphicFramePr>
        <xdr:cNvPr id="38" name="Chart 37">
          <a:extLst>
            <a:ext uri="{FF2B5EF4-FFF2-40B4-BE49-F238E27FC236}">
              <a16:creationId xmlns:a16="http://schemas.microsoft.com/office/drawing/2014/main" id="{A2FF2189-4CCB-4E79-81D9-6CEFB5FB53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567665</xdr:colOff>
      <xdr:row>10</xdr:row>
      <xdr:rowOff>107396</xdr:rowOff>
    </xdr:from>
    <xdr:to>
      <xdr:col>6</xdr:col>
      <xdr:colOff>76712</xdr:colOff>
      <xdr:row>11</xdr:row>
      <xdr:rowOff>143195</xdr:rowOff>
    </xdr:to>
    <xdr:sp macro="" textlink="">
      <xdr:nvSpPr>
        <xdr:cNvPr id="7" name="TextBox 6">
          <a:extLst>
            <a:ext uri="{FF2B5EF4-FFF2-40B4-BE49-F238E27FC236}">
              <a16:creationId xmlns:a16="http://schemas.microsoft.com/office/drawing/2014/main" id="{F44E0205-7669-4EE8-BC18-CBFAC0F3CFFB}"/>
            </a:ext>
          </a:extLst>
        </xdr:cNvPr>
        <xdr:cNvSpPr txBox="1"/>
      </xdr:nvSpPr>
      <xdr:spPr>
        <a:xfrm>
          <a:off x="1784819" y="1948470"/>
          <a:ext cx="1943356" cy="219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accent1">
                  <a:lumMod val="50000"/>
                </a:schemeClr>
              </a:solidFill>
            </a:rPr>
            <a:t>No.</a:t>
          </a:r>
          <a:r>
            <a:rPr lang="en-IN" sz="1100" baseline="0">
              <a:solidFill>
                <a:schemeClr val="accent1">
                  <a:lumMod val="50000"/>
                </a:schemeClr>
              </a:solidFill>
            </a:rPr>
            <a:t> Patient by Age Group</a:t>
          </a:r>
          <a:endParaRPr lang="en-IN" sz="1100">
            <a:solidFill>
              <a:schemeClr val="accent1">
                <a:lumMod val="50000"/>
              </a:schemeClr>
            </a:solidFill>
          </a:endParaRPr>
        </a:p>
      </xdr:txBody>
    </xdr:sp>
    <xdr:clientData/>
  </xdr:twoCellAnchor>
  <xdr:twoCellAnchor>
    <xdr:from>
      <xdr:col>7</xdr:col>
      <xdr:colOff>120762</xdr:colOff>
      <xdr:row>0</xdr:row>
      <xdr:rowOff>117702</xdr:rowOff>
    </xdr:from>
    <xdr:to>
      <xdr:col>9</xdr:col>
      <xdr:colOff>347759</xdr:colOff>
      <xdr:row>8</xdr:row>
      <xdr:rowOff>35799</xdr:rowOff>
    </xdr:to>
    <xdr:graphicFrame macro="">
      <xdr:nvGraphicFramePr>
        <xdr:cNvPr id="41" name="Chart 40">
          <a:extLst>
            <a:ext uri="{FF2B5EF4-FFF2-40B4-BE49-F238E27FC236}">
              <a16:creationId xmlns:a16="http://schemas.microsoft.com/office/drawing/2014/main" id="{C81D5F15-FD3E-4719-B92E-1BFD7BD1FC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7</xdr:col>
      <xdr:colOff>368215</xdr:colOff>
      <xdr:row>5</xdr:row>
      <xdr:rowOff>117622</xdr:rowOff>
    </xdr:from>
    <xdr:to>
      <xdr:col>9</xdr:col>
      <xdr:colOff>245476</xdr:colOff>
      <xdr:row>7</xdr:row>
      <xdr:rowOff>0</xdr:rowOff>
    </xdr:to>
    <xdr:sp macro="" textlink="">
      <xdr:nvSpPr>
        <xdr:cNvPr id="10" name="TextBox 9">
          <a:extLst>
            <a:ext uri="{FF2B5EF4-FFF2-40B4-BE49-F238E27FC236}">
              <a16:creationId xmlns:a16="http://schemas.microsoft.com/office/drawing/2014/main" id="{E4EA6BEC-ABA3-4575-91E3-C1A338759F8F}"/>
            </a:ext>
          </a:extLst>
        </xdr:cNvPr>
        <xdr:cNvSpPr txBox="1"/>
      </xdr:nvSpPr>
      <xdr:spPr>
        <a:xfrm>
          <a:off x="4628255" y="1038159"/>
          <a:ext cx="1094416" cy="2505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a:solidFill>
                <a:schemeClr val="accent1">
                  <a:lumMod val="50000"/>
                </a:schemeClr>
              </a:solidFill>
            </a:rPr>
            <a:t>Patient Attend Status</a:t>
          </a:r>
        </a:p>
        <a:p>
          <a:endParaRPr lang="en-IN" sz="800">
            <a:solidFill>
              <a:schemeClr val="accent1">
                <a:lumMod val="50000"/>
              </a:schemeClr>
            </a:solidFill>
          </a:endParaRPr>
        </a:p>
      </xdr:txBody>
    </xdr:sp>
    <xdr:clientData/>
  </xdr:twoCellAnchor>
  <xdr:twoCellAnchor>
    <xdr:from>
      <xdr:col>9</xdr:col>
      <xdr:colOff>368215</xdr:colOff>
      <xdr:row>0</xdr:row>
      <xdr:rowOff>97169</xdr:rowOff>
    </xdr:from>
    <xdr:to>
      <xdr:col>11</xdr:col>
      <xdr:colOff>291503</xdr:colOff>
      <xdr:row>6</xdr:row>
      <xdr:rowOff>122739</xdr:rowOff>
    </xdr:to>
    <xdr:graphicFrame macro="">
      <xdr:nvGraphicFramePr>
        <xdr:cNvPr id="43" name="Chart 42">
          <a:extLst>
            <a:ext uri="{FF2B5EF4-FFF2-40B4-BE49-F238E27FC236}">
              <a16:creationId xmlns:a16="http://schemas.microsoft.com/office/drawing/2014/main" id="{0DB0DA95-42D8-4B3A-910A-5758FBB070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9</xdr:col>
      <xdr:colOff>357987</xdr:colOff>
      <xdr:row>5</xdr:row>
      <xdr:rowOff>102281</xdr:rowOff>
    </xdr:from>
    <xdr:to>
      <xdr:col>11</xdr:col>
      <xdr:colOff>506296</xdr:colOff>
      <xdr:row>6</xdr:row>
      <xdr:rowOff>102282</xdr:rowOff>
    </xdr:to>
    <xdr:sp macro="" textlink="">
      <xdr:nvSpPr>
        <xdr:cNvPr id="11" name="TextBox 10">
          <a:extLst>
            <a:ext uri="{FF2B5EF4-FFF2-40B4-BE49-F238E27FC236}">
              <a16:creationId xmlns:a16="http://schemas.microsoft.com/office/drawing/2014/main" id="{0E93F42A-6DD5-4489-A717-F811FB985149}"/>
            </a:ext>
          </a:extLst>
        </xdr:cNvPr>
        <xdr:cNvSpPr txBox="1"/>
      </xdr:nvSpPr>
      <xdr:spPr>
        <a:xfrm>
          <a:off x="5835182" y="1022818"/>
          <a:ext cx="1365463" cy="1841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a:solidFill>
                <a:schemeClr val="accent1">
                  <a:lumMod val="50000"/>
                </a:schemeClr>
              </a:solidFill>
            </a:rPr>
            <a:t>No. of Patient by Gender</a:t>
          </a:r>
        </a:p>
      </xdr:txBody>
    </xdr:sp>
    <xdr:clientData/>
  </xdr:twoCellAnchor>
  <xdr:twoCellAnchor>
    <xdr:from>
      <xdr:col>7</xdr:col>
      <xdr:colOff>340668</xdr:colOff>
      <xdr:row>7</xdr:row>
      <xdr:rowOff>40911</xdr:rowOff>
    </xdr:from>
    <xdr:to>
      <xdr:col>11</xdr:col>
      <xdr:colOff>260820</xdr:colOff>
      <xdr:row>16</xdr:row>
      <xdr:rowOff>178992</xdr:rowOff>
    </xdr:to>
    <xdr:graphicFrame macro="">
      <xdr:nvGraphicFramePr>
        <xdr:cNvPr id="47" name="Chart 46">
          <a:extLst>
            <a:ext uri="{FF2B5EF4-FFF2-40B4-BE49-F238E27FC236}">
              <a16:creationId xmlns:a16="http://schemas.microsoft.com/office/drawing/2014/main" id="{4D765AE7-E036-4A08-ACCB-0B476F625F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8</xdr:col>
      <xdr:colOff>306847</xdr:colOff>
      <xdr:row>15</xdr:row>
      <xdr:rowOff>81825</xdr:rowOff>
    </xdr:from>
    <xdr:to>
      <xdr:col>10</xdr:col>
      <xdr:colOff>536980</xdr:colOff>
      <xdr:row>16</xdr:row>
      <xdr:rowOff>143195</xdr:rowOff>
    </xdr:to>
    <xdr:sp macro="" textlink="">
      <xdr:nvSpPr>
        <xdr:cNvPr id="18" name="TextBox 17">
          <a:extLst>
            <a:ext uri="{FF2B5EF4-FFF2-40B4-BE49-F238E27FC236}">
              <a16:creationId xmlns:a16="http://schemas.microsoft.com/office/drawing/2014/main" id="{541A2827-E0AF-4D00-8C39-D7CA570C77F3}"/>
            </a:ext>
          </a:extLst>
        </xdr:cNvPr>
        <xdr:cNvSpPr txBox="1"/>
      </xdr:nvSpPr>
      <xdr:spPr>
        <a:xfrm>
          <a:off x="5175464" y="2843436"/>
          <a:ext cx="1447288" cy="2454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a:solidFill>
                <a:schemeClr val="accent1">
                  <a:lumMod val="50000"/>
                </a:schemeClr>
              </a:solidFill>
            </a:rPr>
            <a:t>No. of Patient by Department</a:t>
          </a:r>
        </a:p>
        <a:p>
          <a:endParaRPr lang="en-IN" sz="800">
            <a:solidFill>
              <a:schemeClr val="accent1">
                <a:lumMod val="50000"/>
              </a:schemeClr>
            </a:solidFill>
          </a:endParaRPr>
        </a:p>
      </xdr:txBody>
    </xdr:sp>
    <xdr:clientData/>
  </xdr:twoCellAnchor>
  <xdr:twoCellAnchor editAs="oneCell">
    <xdr:from>
      <xdr:col>5</xdr:col>
      <xdr:colOff>390541</xdr:colOff>
      <xdr:row>0</xdr:row>
      <xdr:rowOff>179614</xdr:rowOff>
    </xdr:from>
    <xdr:to>
      <xdr:col>7</xdr:col>
      <xdr:colOff>141515</xdr:colOff>
      <xdr:row>2</xdr:row>
      <xdr:rowOff>169500</xdr:rowOff>
    </xdr:to>
    <mc:AlternateContent xmlns:mc="http://schemas.openxmlformats.org/markup-compatibility/2006" xmlns:a14="http://schemas.microsoft.com/office/drawing/2010/main">
      <mc:Choice Requires="a14">
        <xdr:graphicFrame macro="">
          <xdr:nvGraphicFramePr>
            <xdr:cNvPr id="50" name="Date (Year)">
              <a:extLst>
                <a:ext uri="{FF2B5EF4-FFF2-40B4-BE49-F238E27FC236}">
                  <a16:creationId xmlns:a16="http://schemas.microsoft.com/office/drawing/2014/main" id="{35FD16F3-150E-4342-82F7-10CB4DDA777F}"/>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438541" y="179614"/>
              <a:ext cx="970174" cy="3556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13</xdr:col>
      <xdr:colOff>239485</xdr:colOff>
      <xdr:row>1</xdr:row>
      <xdr:rowOff>46083</xdr:rowOff>
    </xdr:from>
    <xdr:to>
      <xdr:col>16</xdr:col>
      <xdr:colOff>39914</xdr:colOff>
      <xdr:row>4</xdr:row>
      <xdr:rowOff>68943</xdr:rowOff>
    </xdr:to>
    <xdr:graphicFrame macro="">
      <xdr:nvGraphicFramePr>
        <xdr:cNvPr id="2" name="Chart 1">
          <a:extLst>
            <a:ext uri="{FF2B5EF4-FFF2-40B4-BE49-F238E27FC236}">
              <a16:creationId xmlns:a16="http://schemas.microsoft.com/office/drawing/2014/main" id="{9FD86313-66A2-4F6C-8AA0-62D1006F40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praj Patel" refreshedDate="45998.734185648151" createdVersion="5" refreshedVersion="7" minRefreshableVersion="3" recordCount="0" supportSubquery="1" supportAdvancedDrill="1" xr:uid="{1E92419F-B9E9-4BE4-B056-7B9C46FA4F8E}">
  <cacheSource type="external" connectionId="3"/>
  <cacheFields count="3">
    <cacheField name="[Measures].[Distinct Count of Patient Id]" caption="Distinct Count of Patient Id" numFmtId="0" hierarchy="24" level="32767"/>
    <cacheField name="[Calendar_Table].[Date (Day)].[Date (Day)]" caption="Date (Day)" numFmtId="0" hierarchy="4"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_Table].[Date (Month)].[Date (Month)]" caption="Date (Month)"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dmission Flag]" caption="Sum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praj Patel" refreshedDate="45998.734186226851" createdVersion="5" refreshedVersion="7" minRefreshableVersion="3" recordCount="0" supportSubquery="1" supportAdvancedDrill="1" xr:uid="{4400BF40-7698-4FF9-ACB0-DAFA0CA8D1F3}">
  <cacheSource type="external" connectionId="3"/>
  <cacheFields count="2">
    <cacheField name="[Measures].[Distinct Count of Patient Id]" caption="Distinct Count of Patient Id" numFmtId="0" hierarchy="24" level="32767"/>
    <cacheField name="[Calendar_Table].[Date (Month)].[Date (Month)]" caption="Date (Month)"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dmission Flag]" caption="Sum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praj Patel" refreshedDate="45998.734186574075" createdVersion="5" refreshedVersion="7" minRefreshableVersion="3" recordCount="0" supportSubquery="1" supportAdvancedDrill="1" xr:uid="{8D0A13B0-7F97-4846-A969-7E1680DBCF76}">
  <cacheSource type="external" connectionId="3"/>
  <cacheFields count="2">
    <cacheField name="[Measures].[Average of Patient Waittime]" caption="Average of Patient Waittime" numFmtId="0" hierarchy="26" level="32767"/>
    <cacheField name="[Calendar_Table].[Date (Month)].[Date (Month)]" caption="Date (Month)"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dmission Flag]" caption="Sum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praj Patel" refreshedDate="45998.734187152775" createdVersion="5" refreshedVersion="7" minRefreshableVersion="3" recordCount="0" supportSubquery="1" supportAdvancedDrill="1" xr:uid="{61CA669F-EDDA-4AA9-A227-462C6D1065B6}">
  <cacheSource type="external" connectionId="3"/>
  <cacheFields count="2">
    <cacheField name="[Measures].[Average of Patient Satisfaction Score]" caption="Average of Patient Satisfaction Score" numFmtId="0" hierarchy="28" level="32767"/>
    <cacheField name="[Calendar_Table].[Date (Month)].[Date (Month)]" caption="Date (Month)"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dmission Flag]" caption="Sum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praj Patel" refreshedDate="45998.734187847222" createdVersion="5" refreshedVersion="7" minRefreshableVersion="3" recordCount="0" supportSubquery="1" supportAdvancedDrill="1" xr:uid="{D1C602E6-83B2-4615-A094-F9DA74235E95}">
  <cacheSource type="external" connectionId="3"/>
  <cacheFields count="3">
    <cacheField name="[Calendar_Table].[Date (Day)].[Date (Day)]" caption="Date (Day)" numFmtId="0" hierarchy="4"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_Table].[Date (Month)].[Date (Month)]" caption="Date (Month)" numFmtId="0" hierarchy="3" level="1">
      <sharedItems containsSemiMixedTypes="0" containsNonDate="0" containsString="0"/>
    </cacheField>
    <cacheField name="[Measures].[Average of Patient Waittime]" caption="Average of Patient Waittime" numFmtId="0" hierarchy="26" level="32767"/>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dmission Flag]" caption="Sum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praj Patel" refreshedDate="45998.734188657407" createdVersion="5" refreshedVersion="7" minRefreshableVersion="3" recordCount="0" supportSubquery="1" supportAdvancedDrill="1" xr:uid="{7D2B064E-B6B3-4AB9-81D5-201586919101}">
  <cacheSource type="external" connectionId="3"/>
  <cacheFields count="3">
    <cacheField name="[Calendar_Table].[Date (Day)].[Date (Day)]" caption="Date (Day)" numFmtId="0" hierarchy="4"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_Table].[Date (Month)].[Date (Month)]" caption="Date (Month)" numFmtId="0" hierarchy="3" level="1">
      <sharedItems containsSemiMixedTypes="0" containsNonDate="0" containsString="0"/>
    </cacheField>
    <cacheField name="[Measures].[Average of Patient Satisfaction Score]" caption="Average of Patient Satisfaction Score" numFmtId="0" hierarchy="28" level="32767"/>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dmission Flag]" caption="Sum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praj Patel" refreshedDate="45998.734189351853" createdVersion="5" refreshedVersion="7" minRefreshableVersion="3" recordCount="0" supportSubquery="1" supportAdvancedDrill="1" xr:uid="{46D6A750-B3C8-444C-ABE4-4953E435CFCC}">
  <cacheSource type="external" connectionId="3"/>
  <cacheFields count="4">
    <cacheField name="[Calendar_Table].[Date (Month)].[Date (Month)]" caption="Date (Month)" numFmtId="0" hierarchy="3"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29" level="32767"/>
    <cacheField name="Dummy0" numFmtId="0" hierarchy="33" level="32767">
      <extLst>
        <ext xmlns:x14="http://schemas.microsoft.com/office/spreadsheetml/2009/9/main" uri="{63CAB8AC-B538-458d-9737-405883B0398D}">
          <x14:cacheField ignore="1"/>
        </ext>
      </extLst>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Patient Admission Flag]" caption="Sum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praj Patel" refreshedDate="45998.734190162038" createdVersion="5" refreshedVersion="7" minRefreshableVersion="3" recordCount="0" supportSubquery="1" supportAdvancedDrill="1" xr:uid="{2BB6616C-8635-46B6-B87E-B595E3A2EB1D}">
  <cacheSource type="external" connectionId="3"/>
  <cacheFields count="3">
    <cacheField name="[Calendar_Table].[Date (Month)].[Date (Month)]" caption="Date (Month)" numFmtId="0" hierarchy="3"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1" level="32767"/>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dmission Flag]" caption="Sum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praj Patel" refreshedDate="45998.734190856485" createdVersion="5" refreshedVersion="7" minRefreshableVersion="3" recordCount="0" supportSubquery="1" supportAdvancedDrill="1" xr:uid="{1F84C116-4E12-4E33-8A45-EAF648C471EC}">
  <cacheSource type="external" connectionId="3"/>
  <cacheFields count="3">
    <cacheField name="[Calendar_Table].[Date (Month)].[Date (Month)]" caption="Date (Month)" numFmtId="0" hierarchy="3"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Id]" caption="Count of Patient Id" numFmtId="0" hierarchy="23" level="32767"/>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2"/>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dmission Flag]" caption="Sum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praj Patel" refreshedDate="45998.734191550924" createdVersion="5" refreshedVersion="7" minRefreshableVersion="3" recordCount="0" supportSubquery="1" supportAdvancedDrill="1" xr:uid="{790D38C1-4947-4F66-8C76-49EDF800AE56}">
  <cacheSource type="external" connectionId="3"/>
  <cacheFields count="3">
    <cacheField name="[Calendar_Table].[Date (Month)].[Date (Month)]" caption="Date (Month)" numFmtId="0" hierarchy="3" level="1">
      <sharedItems containsSemiMixedTypes="0" containsNonDate="0" containsString="0"/>
    </cacheField>
    <cacheField name="[Measures].[Count of Patient Id]" caption="Count of Patient Id" numFmtId="0" hierarchy="23" level="32767"/>
    <cacheField name="[Hospital Emergency Room Data].[Patient Gender].[Patient Gender]" caption="Patient Gender" numFmtId="0" hierarchy="9" level="1">
      <sharedItems count="2">
        <s v="Female"/>
        <s v="Male"/>
      </sharedItems>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2"/>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dmission Flag]" caption="Sum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praj Patel" refreshedDate="45998.734192361109" createdVersion="5" refreshedVersion="7" minRefreshableVersion="3" recordCount="0" supportSubquery="1" supportAdvancedDrill="1" xr:uid="{0D19CEB3-016E-4BBD-9208-4BF0DF403F68}">
  <cacheSource type="external" connectionId="3"/>
  <cacheFields count="3">
    <cacheField name="[Calendar_Table].[Date (Month)].[Date (Month)]" caption="Date (Month)" numFmtId="0" hierarchy="3"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2" level="32767"/>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dmission Flag]" caption="Sum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praj Patel" refreshedDate="45998.738780555555" createdVersion="5" refreshedVersion="7" minRefreshableVersion="3" recordCount="0" supportSubquery="1" supportAdvancedDrill="1" xr:uid="{F343584B-53DD-47A0-865E-292C8A02D54F}">
  <cacheSource type="external" connectionId="3"/>
  <cacheFields count="2">
    <cacheField name="[Calendar_Table].[Date (Month)].[Date (Month)]" caption="Date (Month)" numFmtId="0" hierarchy="3" level="1">
      <sharedItems containsSemiMixedTypes="0" containsNonDate="0" containsString="0"/>
    </cacheField>
    <cacheField name="[Calendar_Table].[Date (Year)].[Date (Year)]" caption="Date (Year)" numFmtId="0" hierarchy="1" level="1">
      <sharedItems count="1">
        <s v="2024"/>
      </sharedItems>
    </cacheField>
  </cacheFields>
  <cacheHierarchies count="33">
    <cacheHierarchy uniqueName="[Calendar_Table].[Date]" caption="Date" attribute="1" time="1" defaultMemberUniqueName="[Calendar_Table].[Date].[All]" allUniqueName="[Calendar_Table].[Date].[All]" dimensionUniqueName="[Calendar_Table]" displayFolder="" count="2"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1"/>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2"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dmission Flag]" caption="Sum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praj Patel" refreshedDate="45998.591391435184" createdVersion="3" refreshedVersion="7" minRefreshableVersion="3" recordCount="0" supportSubquery="1" supportAdvancedDrill="1" xr:uid="{C9813985-D7B1-42A9-B34D-AF9997751C1B}">
  <cacheSource type="external" connectionId="3">
    <extLst>
      <ext xmlns:x14="http://schemas.microsoft.com/office/spreadsheetml/2009/9/main" uri="{F057638F-6D5F-4e77-A914-E7F072B9BCA8}">
        <x14:sourceConnection name="ThisWorkbookDataModel"/>
      </ext>
    </extLst>
  </cacheSource>
  <cacheFields count="0"/>
  <cacheHierarchies count="29">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97465837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10CEFB-10A4-4CE2-9FA2-8554E89FF5A9}" name="PivotTable9" cacheId="7" applyNumberFormats="0" applyBorderFormats="0" applyFontFormats="0" applyPatternFormats="0" applyAlignmentFormats="0" applyWidthHeightFormats="1" dataCaption="Values" tag="337d845f-94dd-4eea-b940-ff43d3443cba" updatedVersion="7" minRefreshableVersion="3" useAutoFormatting="1" subtotalHiddenItems="1" itemPrintTitles="1" createdVersion="5" indent="0" outline="1" outlineData="1" multipleFieldFilters="0" chartFormat="3">
  <location ref="A43:B52"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1"/>
  </rowFields>
  <rowItems count="9">
    <i>
      <x/>
    </i>
    <i>
      <x v="1"/>
    </i>
    <i>
      <x v="2"/>
    </i>
    <i>
      <x v="3"/>
    </i>
    <i>
      <x v="4"/>
    </i>
    <i>
      <x v="5"/>
    </i>
    <i>
      <x v="6"/>
    </i>
    <i>
      <x v="7"/>
    </i>
    <i t="grand">
      <x/>
    </i>
  </rowItems>
  <colItems count="1">
    <i/>
  </colItems>
  <dataFields count="1">
    <dataField name="Count of Age Group" fld="2" subtotal="count" baseField="0" baseItem="0" numFmtId="1"/>
  </dataFields>
  <formats count="1">
    <format dxfId="0">
      <pivotArea outline="0" collapsedLevelsAreSubtotals="1" fieldPosition="0"/>
    </format>
  </formats>
  <chartFormats count="9">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0"/>
          </reference>
        </references>
      </pivotArea>
    </chartFormat>
    <chartFormat chart="2" format="4">
      <pivotArea type="data" outline="0" fieldPosition="0">
        <references count="2">
          <reference field="4294967294" count="1" selected="0">
            <x v="0"/>
          </reference>
          <reference field="1" count="1" selected="0">
            <x v="1"/>
          </reference>
        </references>
      </pivotArea>
    </chartFormat>
    <chartFormat chart="2" format="5">
      <pivotArea type="data" outline="0" fieldPosition="0">
        <references count="2">
          <reference field="4294967294" count="1" selected="0">
            <x v="0"/>
          </reference>
          <reference field="1" count="1" selected="0">
            <x v="2"/>
          </reference>
        </references>
      </pivotArea>
    </chartFormat>
    <chartFormat chart="2" format="6">
      <pivotArea type="data" outline="0" fieldPosition="0">
        <references count="2">
          <reference field="4294967294" count="1" selected="0">
            <x v="0"/>
          </reference>
          <reference field="1" count="1" selected="0">
            <x v="3"/>
          </reference>
        </references>
      </pivotArea>
    </chartFormat>
    <chartFormat chart="2" format="7">
      <pivotArea type="data" outline="0" fieldPosition="0">
        <references count="2">
          <reference field="4294967294" count="1" selected="0">
            <x v="0"/>
          </reference>
          <reference field="1" count="1" selected="0">
            <x v="4"/>
          </reference>
        </references>
      </pivotArea>
    </chartFormat>
    <chartFormat chart="2" format="8">
      <pivotArea type="data" outline="0" fieldPosition="0">
        <references count="2">
          <reference field="4294967294" count="1" selected="0">
            <x v="0"/>
          </reference>
          <reference field="1" count="1" selected="0">
            <x v="5"/>
          </reference>
        </references>
      </pivotArea>
    </chartFormat>
    <chartFormat chart="2" format="9">
      <pivotArea type="data" outline="0" fieldPosition="0">
        <references count="2">
          <reference field="4294967294" count="1" selected="0">
            <x v="0"/>
          </reference>
          <reference field="1" count="1" selected="0">
            <x v="6"/>
          </reference>
        </references>
      </pivotArea>
    </chartFormat>
    <chartFormat chart="2" format="10">
      <pivotArea type="data" outline="0" fieldPosition="0">
        <references count="2">
          <reference field="4294967294" count="1" selected="0">
            <x v="0"/>
          </reference>
          <reference field="1" count="1" selected="0">
            <x v="7"/>
          </reference>
        </references>
      </pivotArea>
    </chartFormat>
  </chartFormats>
  <pivotHierarchies count="33">
    <pivotHierarchy dragToData="1"/>
    <pivotHierarchy dragToData="1"/>
    <pivotHierarchy dragToData="1"/>
    <pivotHierarchy multipleItemSelectionAllowed="1" dragToData="1">
      <members count="1" level="1">
        <member name="[Calenda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EF8B445-9F0F-42E7-9023-3D282EF4AF98}" name="PivotTable1" cacheId="1" applyNumberFormats="0" applyBorderFormats="0" applyFontFormats="0" applyPatternFormats="0" applyAlignmentFormats="0" applyWidthHeightFormats="1" dataCaption="Values" tag="12db4470-04e3-42d5-9d73-048674d3d1df" updatedVersion="7" minRefreshableVersion="3" useAutoFormatting="1" subtotalHiddenItems="1" itemPrintTitles="1" createdVersion="5" indent="0" outline="1" outlineData="1" multipleFieldFilters="0">
  <location ref="A2:A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3">
    <pivotHierarchy dragToData="1"/>
    <pivotHierarchy dragToData="1"/>
    <pivotHierarchy dragToData="1"/>
    <pivotHierarchy multipleItemSelectionAllowed="1" dragToData="1">
      <members count="1" level="1">
        <member name="[Calenda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A40DCC6-67A8-4AB0-8D48-F4A1817E797A}" name="PivotTable5" cacheId="0" applyNumberFormats="0" applyBorderFormats="0" applyFontFormats="0" applyPatternFormats="0" applyAlignmentFormats="0" applyWidthHeightFormats="1" dataCaption="Values" tag="e19ff765-e4fe-4b76-b18d-ab853c77729d" updatedVersion="7" minRefreshableVersion="3" useAutoFormatting="1" subtotalHiddenItems="1" itemPrintTitles="1" createdVersion="5" indent="0" outline="1" outlineData="1" multipleFieldFilters="0" chartFormat="3">
  <location ref="C2:D34" firstHeaderRow="1" firstDataRow="1" firstDataCol="1"/>
  <pivotFields count="3">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1">
    <chartFormat chart="2" format="2" series="1">
      <pivotArea type="data" outline="0" fieldPosition="0">
        <references count="1">
          <reference field="4294967294" count="1" selected="0">
            <x v="0"/>
          </reference>
        </references>
      </pivotArea>
    </chartFormat>
  </chartFormats>
  <pivotHierarchies count="33">
    <pivotHierarchy dragToData="1"/>
    <pivotHierarchy dragToData="1"/>
    <pivotHierarchy dragToData="1"/>
    <pivotHierarchy multipleItemSelectionAllowed="1" dragToData="1">
      <members count="1" level="1">
        <member name="[Calenda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4380178-920F-462C-9305-476E8F8BA98A}" name="PivotTable2" cacheId="6" applyNumberFormats="0" applyBorderFormats="0" applyFontFormats="0" applyPatternFormats="0" applyAlignmentFormats="0" applyWidthHeightFormats="1" dataCaption="Values" tag="337d845f-94dd-4eea-b940-ff43d3443cba" updatedVersion="7" minRefreshableVersion="3" useAutoFormatting="1" subtotalHiddenItems="1" itemPrintTitles="1" createdVersion="5" indent="0" outline="1" outlineData="1" multipleFieldFilters="0" chartFormat="1">
  <location ref="A37:C40" firstHeaderRow="0"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3" subtotal="count" showDataAs="percentOfTotal" baseField="1" baseItem="0" numFmtId="10">
      <extLst>
        <ext xmlns:x14="http://schemas.microsoft.com/office/spreadsheetml/2009/9/main" uri="{E15A36E0-9728-4e99-A89B-3F7291B0FE68}">
          <x14:dataField sourceField="2" uniqueName="[__Xl2].[Measures].[Count of Patient Admission Flag]"/>
        </ext>
      </extLst>
    </dataField>
  </dataFields>
  <formats count="2">
    <format dxfId="2">
      <pivotArea outline="0" collapsedLevelsAreSubtotals="1" fieldPosition="0"/>
    </format>
    <format dxfId="1">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dragToData="1"/>
    <pivotHierarchy dragToData="1"/>
    <pivotHierarchy multipleItemSelectionAllowed="1" dragToData="1">
      <members count="1" level="1">
        <member name="[Calenda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15882EF-AEB6-4262-BBB2-AAE7CB122F72}" name="PivotTable6" cacheId="4" applyNumberFormats="0" applyBorderFormats="0" applyFontFormats="0" applyPatternFormats="0" applyAlignmentFormats="0" applyWidthHeightFormats="1" dataCaption="Values" tag="d0dcc8f8-8a8f-4308-9496-74f1aca343dc" updatedVersion="7" minRefreshableVersion="3" useAutoFormatting="1" subtotalHiddenItems="1" itemPrintTitles="1" createdVersion="5" indent="0" outline="1" outlineData="1" multipleFieldFilters="0" chartFormat="10">
  <location ref="F2:G34" firstHeaderRow="1" firstDataRow="1" firstDataCol="1"/>
  <pivotFields count="3">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dataFields>
  <chartFormats count="4">
    <chartFormat chart="6"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33">
    <pivotHierarchy dragToData="1"/>
    <pivotHierarchy dragToData="1"/>
    <pivotHierarchy dragToData="1"/>
    <pivotHierarchy multipleItemSelectionAllowed="1" dragToData="1">
      <members count="1" level="1">
        <member name="[Calenda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C655057-EFEC-4454-AF1D-70A21183FA17}" name="PivotTable15" cacheId="11" applyNumberFormats="0" applyBorderFormats="0" applyFontFormats="0" applyPatternFormats="0" applyAlignmentFormats="0" applyWidthHeightFormats="1" dataCaption="Values" tag="337d845f-94dd-4eea-b940-ff43d3443cba" updatedVersion="7" minRefreshableVersion="3" useAutoFormatting="1" subtotalHiddenItems="1" itemPrintTitles="1" createdVersion="5" indent="0" outline="1" outlineData="1" multipleFieldFilters="0">
  <location ref="E55:E57" firstHeaderRow="1" firstDataRow="1" firstDataCol="1"/>
  <pivotFields count="2">
    <pivotField allDrilled="1" subtotalTop="0" showAll="0" dataSourceSort="1" defaultSubtotal="0" defaultAttributeDrillState="1"/>
    <pivotField axis="axisRow" allDrilled="1" subtotalTop="0" showAll="0" dataSourceSort="1" defaultSubtotal="0" defaultAttributeDrillState="1">
      <items count="1">
        <item s="1" x="0"/>
      </items>
    </pivotField>
  </pivotFields>
  <rowFields count="1">
    <field x="1"/>
  </rowFields>
  <rowItems count="2">
    <i>
      <x/>
    </i>
    <i t="grand">
      <x/>
    </i>
  </rowItems>
  <formats count="1">
    <format dxfId="3">
      <pivotArea outline="0" collapsedLevelsAreSubtotals="1" fieldPosition="0"/>
    </format>
  </formats>
  <pivotHierarchies count="33">
    <pivotHierarchy dragToData="1"/>
    <pivotHierarchy multipleItemSelectionAllowed="1" dragToData="1"/>
    <pivotHierarchy dragToData="1"/>
    <pivotHierarchy multipleItemSelectionAllowed="1" dragToData="1">
      <members count="1" level="1">
        <member name="[Calenda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00F4C80-8CA4-41A9-96C5-BCAA075B18F9}" name="PivotTable12" cacheId="8" applyNumberFormats="0" applyBorderFormats="0" applyFontFormats="0" applyPatternFormats="0" applyAlignmentFormats="0" applyWidthHeightFormats="1" dataCaption="Values" tag="337d845f-94dd-4eea-b940-ff43d3443cba" updatedVersion="7" minRefreshableVersion="3" useAutoFormatting="1" subtotalHiddenItems="1" itemPrintTitles="1" createdVersion="5" indent="0" outline="1" outlineData="1" multipleFieldFilters="0" chartFormat="7">
  <location ref="A55:B58"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Items count="1">
    <i/>
  </colItems>
  <dataFields count="1">
    <dataField name="Count of Patient Id" fld="2" subtotal="count" baseField="0" baseItem="0"/>
  </dataFields>
  <formats count="1">
    <format dxfId="4">
      <pivotArea outline="0" collapsedLevelsAreSubtotals="1" fieldPosition="0"/>
    </format>
  </formats>
  <chartFormats count="3">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1" count="1" selected="0">
            <x v="0"/>
          </reference>
        </references>
      </pivotArea>
    </chartFormat>
    <chartFormat chart="6" format="6">
      <pivotArea type="data" outline="0" fieldPosition="0">
        <references count="2">
          <reference field="4294967294" count="1" selected="0">
            <x v="0"/>
          </reference>
          <reference field="1" count="1" selected="0">
            <x v="1"/>
          </reference>
        </references>
      </pivotArea>
    </chartFormat>
  </chartFormats>
  <pivotHierarchies count="33">
    <pivotHierarchy dragToData="1"/>
    <pivotHierarchy dragToData="1"/>
    <pivotHierarchy dragToData="1"/>
    <pivotHierarchy multipleItemSelectionAllowed="1" dragToData="1">
      <members count="1" level="1">
        <member name="[Calenda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38A39C5-7DC2-4E63-A5FF-25BFAE4C727E}" name="PivotTable14" cacheId="10" applyNumberFormats="0" applyBorderFormats="0" applyFontFormats="0" applyPatternFormats="0" applyAlignmentFormats="0" applyWidthHeightFormats="1" dataCaption="Values" tag="337d845f-94dd-4eea-b940-ff43d3443cba" updatedVersion="7" minRefreshableVersion="3" useAutoFormatting="1" subtotalHiddenItems="1" itemPrintTitles="1" createdVersion="5" indent="0" outline="1" outlineData="1" multipleFieldFilters="0" chartFormat="14">
  <location ref="E37:F46"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9">
    <i>
      <x v="1"/>
    </i>
    <i>
      <x v="7"/>
    </i>
    <i>
      <x v="3"/>
    </i>
    <i>
      <x v="6"/>
    </i>
    <i>
      <x/>
    </i>
    <i>
      <x v="5"/>
    </i>
    <i>
      <x v="2"/>
    </i>
    <i>
      <x v="4"/>
    </i>
    <i t="grand">
      <x/>
    </i>
  </rowItems>
  <colItems count="1">
    <i/>
  </colItems>
  <dataFields count="1">
    <dataField name="Count of Department Referral" fld="2" subtotal="count" baseField="0" baseItem="0" numFmtId="1"/>
  </dataFields>
  <formats count="1">
    <format dxfId="5">
      <pivotArea outline="0" collapsedLevelsAreSubtotals="1" fieldPosition="0"/>
    </format>
  </formats>
  <chartFormats count="1">
    <chartFormat chart="13" format="2" series="1">
      <pivotArea type="data" outline="0" fieldPosition="0">
        <references count="1">
          <reference field="4294967294" count="1" selected="0">
            <x v="0"/>
          </reference>
        </references>
      </pivotArea>
    </chartFormat>
  </chartFormats>
  <pivotHierarchies count="33">
    <pivotHierarchy dragToData="1"/>
    <pivotHierarchy dragToData="1"/>
    <pivotHierarchy dragToData="1"/>
    <pivotHierarchy multipleItemSelectionAllowed="1" dragToData="1">
      <members count="1" level="1">
        <member name="[Calenda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2389DE5-8C81-4779-90AF-3E370F527D56}" name="PivotTable7" cacheId="5" applyNumberFormats="0" applyBorderFormats="0" applyFontFormats="0" applyPatternFormats="0" applyAlignmentFormats="0" applyWidthHeightFormats="1" dataCaption="Values" tag="a2d70b7b-a9ee-4880-b10a-d7b7cf75ea1a" updatedVersion="7" minRefreshableVersion="3" useAutoFormatting="1" subtotalHiddenItems="1" itemPrintTitles="1" createdVersion="5" indent="0" outline="1" outlineData="1" multipleFieldFilters="0" chartFormat="6">
  <location ref="I2:J34" firstHeaderRow="1" firstDataRow="1" firstDataCol="1"/>
  <pivotFields count="3">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numFmtId="2"/>
  </dataFields>
  <formats count="1">
    <format dxfId="6">
      <pivotArea outline="0" collapsedLevelsAreSubtotals="1" fieldPosition="0"/>
    </format>
  </format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33">
    <pivotHierarchy dragToData="1"/>
    <pivotHierarchy dragToData="1"/>
    <pivotHierarchy dragToData="1"/>
    <pivotHierarchy multipleItemSelectionAllowed="1" dragToData="1">
      <members count="1" level="1">
        <member name="[Calenda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80B2766-D38C-4329-BEFF-76E76EFC4A32}" name="PivotTable3" cacheId="2" applyNumberFormats="0" applyBorderFormats="0" applyFontFormats="0" applyPatternFormats="0" applyAlignmentFormats="0" applyWidthHeightFormats="1" dataCaption="Values" tag="56f905ff-ff2b-4b25-8238-a70dc97f43df" updatedVersion="7" minRefreshableVersion="3" useAutoFormatting="1" subtotalHiddenItems="1" itemPrintTitles="1" createdVersion="5" indent="0" outline="1" outlineData="1" multipleFieldFilters="0">
  <location ref="A6:A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7">
      <pivotArea outline="0" collapsedLevelsAreSubtotals="1" fieldPosition="0"/>
    </format>
  </formats>
  <pivotHierarchies count="33">
    <pivotHierarchy dragToData="1"/>
    <pivotHierarchy dragToData="1"/>
    <pivotHierarchy dragToData="1"/>
    <pivotHierarchy multipleItemSelectionAllowed="1" dragToData="1">
      <members count="1" level="1">
        <member name="[Calenda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904FD9B-05EF-457E-985F-6CD40867D0A5}" name="PivotTable13" cacheId="9" applyNumberFormats="0" applyBorderFormats="0" applyFontFormats="0" applyPatternFormats="0" applyAlignmentFormats="0" applyWidthHeightFormats="1" dataCaption="Values" tag="337d845f-94dd-4eea-b940-ff43d3443cba" updatedVersion="7" minRefreshableVersion="3" useAutoFormatting="1" subtotalHiddenItems="1" itemPrintTitles="1" createdVersion="5" indent="0" outline="1" outlineData="1" multipleFieldFilters="0" chartFormat="10">
  <location ref="A60:B63" firstHeaderRow="1" firstDataRow="1" firstDataCol="1"/>
  <pivotFields count="3">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s>
  <rowFields count="1">
    <field x="2"/>
  </rowFields>
  <rowItems count="3">
    <i>
      <x/>
    </i>
    <i>
      <x v="1"/>
    </i>
    <i t="grand">
      <x/>
    </i>
  </rowItems>
  <colItems count="1">
    <i/>
  </colItems>
  <dataFields count="1">
    <dataField name="Count of Patient Id" fld="1" subtotal="count" baseField="0" baseItem="0"/>
  </dataFields>
  <formats count="2">
    <format dxfId="9">
      <pivotArea outline="0" collapsedLevelsAreSubtotals="1" fieldPosition="0"/>
    </format>
    <format dxfId="8">
      <pivotArea collapsedLevelsAreSubtotals="1" fieldPosition="0">
        <references count="1">
          <reference field="2" count="0"/>
        </references>
      </pivotArea>
    </format>
  </formats>
  <chartFormats count="6">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2" count="1" selected="0">
            <x v="0"/>
          </reference>
        </references>
      </pivotArea>
    </chartFormat>
    <chartFormat chart="9" format="6">
      <pivotArea type="data" outline="0" fieldPosition="0">
        <references count="2">
          <reference field="4294967294" count="1" selected="0">
            <x v="0"/>
          </reference>
          <reference field="2" count="1" selected="0">
            <x v="1"/>
          </reference>
        </references>
      </pivotArea>
    </chartFormat>
  </chartFormats>
  <pivotHierarchies count="33">
    <pivotHierarchy dragToData="1"/>
    <pivotHierarchy dragToData="1"/>
    <pivotHierarchy dragToData="1"/>
    <pivotHierarchy multipleItemSelectionAllowed="1" dragToData="1">
      <members count="1" level="1">
        <member name="[Calenda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B4CD5F6-1576-4819-B4F9-D8DB36B8BBF1}" name="PivotTable4" cacheId="3" applyNumberFormats="0" applyBorderFormats="0" applyFontFormats="0" applyPatternFormats="0" applyAlignmentFormats="0" applyWidthHeightFormats="1" dataCaption="Values" tag="337d845f-94dd-4eea-b940-ff43d3443cba" updatedVersion="7" minRefreshableVersion="3" useAutoFormatting="1" subtotalHiddenItems="1" itemPrintTitles="1" createdVersion="5" indent="0" outline="1" outlineData="1" multipleFieldFilters="0">
  <location ref="A10:A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0">
      <pivotArea outline="0" collapsedLevelsAreSubtotals="1" fieldPosition="0"/>
    </format>
  </formats>
  <pivotHierarchies count="33">
    <pivotHierarchy dragToData="1"/>
    <pivotHierarchy dragToData="1"/>
    <pivotHierarchy dragToData="1"/>
    <pivotHierarchy multipleItemSelectionAllowed="1" dragToData="1">
      <members count="1" level="1">
        <member name="[Calenda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9BEB2877-DED6-46BE-BFEC-76F18E68A5AB}" sourceName="[Calendar_Table].[Date (Month)]">
  <pivotTables>
    <pivotTable tabId="1" name="PivotTable5"/>
    <pivotTable tabId="1" name="PivotTable1"/>
    <pivotTable tabId="1" name="PivotTable3"/>
    <pivotTable tabId="1" name="PivotTable4"/>
    <pivotTable tabId="1" name="PivotTable6"/>
    <pivotTable tabId="1" name="PivotTable7"/>
    <pivotTable tabId="1" name="PivotTable2"/>
    <pivotTable tabId="1" name="PivotTable9"/>
    <pivotTable tabId="1" name="PivotTable12"/>
    <pivotTable tabId="1" name="PivotTable13"/>
    <pivotTable tabId="1" name="PivotTable14"/>
    <pivotTable tabId="1" name="PivotTable15"/>
  </pivotTables>
  <data>
    <olap pivotCacheId="1974658379">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J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99D6F6C1-61EA-4C3D-97EF-B61112D7E465}" sourceName="[Calendar_Table].[Date (Year)]">
  <pivotTables>
    <pivotTable tabId="1" name="PivotTable15"/>
  </pivotTables>
  <data>
    <olap pivotCacheId="1974658379">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882A72A4-28C1-40D6-8592-1B998B9E2D3C}" cache="Slicer_Date__Month" caption="Date (Month)" showCaption="0" level="1" style="My Style" rowHeight="144000"/>
  <slicer name="Date (Year)" xr10:uid="{6EE13B77-AAE9-41DD-930C-DD5F7C9BCA6A}" cache="Slicer_Date__Year" caption="Date (Year)" columnCount="2" showCaption="0" level="1" style="My Style" rowHeight="180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6A22E-16EE-4EDA-8210-00C2103B73B0}">
  <dimension ref="A1:L17"/>
  <sheetViews>
    <sheetView tabSelected="1" zoomScale="150" zoomScaleNormal="150" workbookViewId="0">
      <selection activeCell="P7" sqref="P7"/>
    </sheetView>
  </sheetViews>
  <sheetFormatPr defaultRowHeight="14.4" x14ac:dyDescent="0.3"/>
  <sheetData>
    <row r="1" spans="1:12" x14ac:dyDescent="0.3">
      <c r="A1" s="5"/>
      <c r="B1" s="5"/>
      <c r="C1" s="5"/>
      <c r="D1" s="5"/>
      <c r="E1" s="5"/>
      <c r="F1" s="5"/>
      <c r="G1" s="5"/>
      <c r="H1" s="5"/>
      <c r="I1" s="5"/>
      <c r="J1" s="5"/>
      <c r="K1" s="5"/>
      <c r="L1" s="5"/>
    </row>
    <row r="2" spans="1:12" x14ac:dyDescent="0.3">
      <c r="A2" s="5"/>
      <c r="B2" s="5"/>
      <c r="C2" s="5"/>
      <c r="D2" s="5"/>
      <c r="E2" s="5"/>
      <c r="F2" s="5"/>
      <c r="G2" s="5"/>
      <c r="H2" s="5"/>
      <c r="I2" s="5"/>
      <c r="J2" s="5"/>
      <c r="K2" s="5"/>
      <c r="L2" s="5"/>
    </row>
    <row r="3" spans="1:12" x14ac:dyDescent="0.3">
      <c r="A3" s="5"/>
      <c r="B3" s="5"/>
      <c r="C3" s="5"/>
      <c r="D3" s="5"/>
      <c r="E3" s="5"/>
      <c r="F3" s="5"/>
      <c r="G3" s="5"/>
      <c r="H3" s="5"/>
      <c r="I3" s="5"/>
      <c r="J3" s="5"/>
      <c r="K3" s="5"/>
      <c r="L3" s="5"/>
    </row>
    <row r="4" spans="1:12" x14ac:dyDescent="0.3">
      <c r="A4" s="5"/>
      <c r="B4" s="5"/>
      <c r="C4" s="5"/>
      <c r="D4" s="5"/>
      <c r="E4" s="5"/>
      <c r="F4" s="5"/>
      <c r="G4" s="5"/>
      <c r="H4" s="5"/>
      <c r="I4" s="5"/>
      <c r="J4" s="5"/>
      <c r="K4" s="5"/>
      <c r="L4" s="5"/>
    </row>
    <row r="5" spans="1:12" x14ac:dyDescent="0.3">
      <c r="A5" s="5"/>
      <c r="B5" s="5"/>
      <c r="C5" s="5"/>
      <c r="D5" s="5"/>
      <c r="E5" s="5"/>
      <c r="F5" s="5"/>
      <c r="G5" s="5"/>
      <c r="H5" s="5"/>
      <c r="I5" s="5"/>
      <c r="J5" s="5"/>
      <c r="K5" s="5"/>
      <c r="L5" s="5"/>
    </row>
    <row r="6" spans="1:12" x14ac:dyDescent="0.3">
      <c r="A6" s="5"/>
      <c r="B6" s="5"/>
      <c r="C6" s="5"/>
      <c r="D6" s="5"/>
      <c r="E6" s="5"/>
      <c r="F6" s="5"/>
      <c r="G6" s="5"/>
      <c r="H6" s="5"/>
      <c r="I6" s="5"/>
      <c r="J6" s="5"/>
      <c r="K6" s="5"/>
      <c r="L6" s="5"/>
    </row>
    <row r="7" spans="1:12" x14ac:dyDescent="0.3">
      <c r="A7" s="5"/>
      <c r="B7" s="5"/>
      <c r="C7" s="5"/>
      <c r="D7" s="5"/>
      <c r="E7" s="5"/>
      <c r="F7" s="5"/>
      <c r="G7" s="5"/>
      <c r="H7" s="5"/>
      <c r="I7" s="5"/>
      <c r="J7" s="5"/>
      <c r="K7" s="5"/>
      <c r="L7" s="5"/>
    </row>
    <row r="8" spans="1:12" x14ac:dyDescent="0.3">
      <c r="A8" s="5"/>
      <c r="B8" s="5"/>
      <c r="C8" s="5"/>
      <c r="D8" s="5"/>
      <c r="E8" s="5"/>
      <c r="F8" s="5"/>
      <c r="G8" s="5"/>
      <c r="H8" s="5"/>
      <c r="I8" s="5"/>
      <c r="J8" s="5"/>
      <c r="K8" s="5"/>
      <c r="L8" s="5"/>
    </row>
    <row r="9" spans="1:12" x14ac:dyDescent="0.3">
      <c r="A9" s="5"/>
      <c r="B9" s="5"/>
      <c r="C9" s="5"/>
      <c r="D9" s="5"/>
      <c r="E9" s="5"/>
      <c r="F9" s="5"/>
      <c r="G9" s="5"/>
      <c r="H9" s="5"/>
      <c r="I9" s="5"/>
      <c r="J9" s="5"/>
      <c r="K9" s="5"/>
      <c r="L9" s="5"/>
    </row>
    <row r="10" spans="1:12" x14ac:dyDescent="0.3">
      <c r="A10" s="5"/>
      <c r="B10" s="5"/>
      <c r="C10" s="5"/>
      <c r="D10" s="5"/>
      <c r="E10" s="5"/>
      <c r="F10" s="5"/>
      <c r="G10" s="5"/>
      <c r="H10" s="5"/>
      <c r="I10" s="5"/>
      <c r="J10" s="5"/>
      <c r="K10" s="5"/>
      <c r="L10" s="5"/>
    </row>
    <row r="11" spans="1:12" x14ac:dyDescent="0.3">
      <c r="A11" s="5"/>
      <c r="B11" s="5"/>
      <c r="C11" s="5"/>
      <c r="D11" s="5"/>
      <c r="E11" s="5"/>
      <c r="F11" s="5"/>
      <c r="G11" s="5"/>
      <c r="H11" s="5"/>
      <c r="I11" s="5"/>
      <c r="J11" s="5"/>
      <c r="K11" s="5"/>
      <c r="L11" s="5"/>
    </row>
    <row r="12" spans="1:12" x14ac:dyDescent="0.3">
      <c r="A12" s="5"/>
      <c r="B12" s="5"/>
      <c r="C12" s="5"/>
      <c r="D12" s="5"/>
      <c r="E12" s="5"/>
      <c r="F12" s="5"/>
      <c r="G12" s="5"/>
      <c r="H12" s="5"/>
      <c r="I12" s="5"/>
      <c r="J12" s="5"/>
      <c r="K12" s="5"/>
      <c r="L12" s="5"/>
    </row>
    <row r="13" spans="1:12" x14ac:dyDescent="0.3">
      <c r="A13" s="5"/>
      <c r="B13" s="5"/>
      <c r="C13" s="5"/>
      <c r="D13" s="5"/>
      <c r="E13" s="5"/>
      <c r="F13" s="5"/>
      <c r="G13" s="5"/>
      <c r="H13" s="5"/>
      <c r="I13" s="5"/>
      <c r="J13" s="5"/>
      <c r="K13" s="5"/>
      <c r="L13" s="5"/>
    </row>
    <row r="14" spans="1:12" x14ac:dyDescent="0.3">
      <c r="A14" s="5"/>
      <c r="B14" s="5"/>
      <c r="C14" s="5"/>
      <c r="D14" s="5"/>
      <c r="E14" s="5"/>
      <c r="F14" s="5"/>
      <c r="G14" s="5"/>
      <c r="H14" s="5"/>
      <c r="I14" s="5"/>
      <c r="J14" s="5"/>
      <c r="K14" s="5"/>
      <c r="L14" s="5"/>
    </row>
    <row r="15" spans="1:12" x14ac:dyDescent="0.3">
      <c r="A15" s="5"/>
      <c r="B15" s="5"/>
      <c r="C15" s="5"/>
      <c r="D15" s="5"/>
      <c r="E15" s="5"/>
      <c r="F15" s="5"/>
      <c r="G15" s="5"/>
      <c r="H15" s="5"/>
      <c r="I15" s="5"/>
      <c r="J15" s="5"/>
      <c r="K15" s="5"/>
      <c r="L15" s="5"/>
    </row>
    <row r="16" spans="1:12" x14ac:dyDescent="0.3">
      <c r="A16" s="5"/>
      <c r="B16" s="5"/>
      <c r="C16" s="5"/>
      <c r="D16" s="5"/>
      <c r="E16" s="5"/>
      <c r="F16" s="5"/>
      <c r="G16" s="5"/>
      <c r="H16" s="5"/>
      <c r="I16" s="5"/>
      <c r="J16" s="5"/>
      <c r="K16" s="5"/>
      <c r="L16" s="5"/>
    </row>
    <row r="17" spans="1:12" x14ac:dyDescent="0.3">
      <c r="A17" s="5"/>
      <c r="B17" s="5"/>
      <c r="C17" s="5"/>
      <c r="D17" s="5"/>
      <c r="E17" s="5"/>
      <c r="F17" s="5"/>
      <c r="G17" s="5"/>
      <c r="H17" s="5"/>
      <c r="I17" s="5"/>
      <c r="J17" s="5"/>
      <c r="K17" s="5"/>
      <c r="L17" s="5"/>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26AC40-C0A0-49E6-A852-7D3CE6D83C7C}">
  <dimension ref="A1:P63"/>
  <sheetViews>
    <sheetView topLeftCell="A37" zoomScale="105" zoomScaleNormal="105" workbookViewId="0">
      <selection activeCell="G48" sqref="G48"/>
    </sheetView>
  </sheetViews>
  <sheetFormatPr defaultRowHeight="14.4" x14ac:dyDescent="0.3"/>
  <cols>
    <col min="1" max="1" width="12.5546875" bestFit="1" customWidth="1"/>
    <col min="2" max="2" width="17" bestFit="1" customWidth="1"/>
    <col min="3" max="3" width="29.109375" bestFit="1" customWidth="1"/>
    <col min="4" max="4" width="23.88671875" bestFit="1" customWidth="1"/>
    <col min="5" max="5" width="12.5546875" bestFit="1" customWidth="1"/>
    <col min="6" max="6" width="26.33203125" bestFit="1" customWidth="1"/>
    <col min="7" max="7" width="25.33203125" bestFit="1" customWidth="1"/>
    <col min="8" max="8" width="10.6640625" bestFit="1" customWidth="1"/>
    <col min="9" max="9" width="12.5546875" bestFit="1" customWidth="1"/>
    <col min="10" max="10" width="32.44140625" bestFit="1" customWidth="1"/>
    <col min="11" max="12" width="10.6640625" bestFit="1" customWidth="1"/>
    <col min="13" max="13" width="17.44140625" customWidth="1"/>
    <col min="14" max="14" width="15" customWidth="1"/>
    <col min="15" max="65" width="10.6640625" bestFit="1" customWidth="1"/>
    <col min="66" max="66" width="10.77734375" bestFit="1" customWidth="1"/>
    <col min="67" max="582" width="10.33203125" bestFit="1" customWidth="1"/>
    <col min="583" max="583" width="10.77734375" bestFit="1" customWidth="1"/>
  </cols>
  <sheetData>
    <row r="1" spans="1:16" x14ac:dyDescent="0.3">
      <c r="A1" s="4" t="s">
        <v>3</v>
      </c>
      <c r="C1" s="4" t="s">
        <v>8</v>
      </c>
      <c r="F1" s="4" t="s">
        <v>9</v>
      </c>
      <c r="I1" s="4" t="s">
        <v>10</v>
      </c>
    </row>
    <row r="2" spans="1:16" x14ac:dyDescent="0.3">
      <c r="A2" t="s">
        <v>2</v>
      </c>
      <c r="C2" s="1" t="s">
        <v>0</v>
      </c>
      <c r="D2" t="s">
        <v>2</v>
      </c>
      <c r="F2" s="1" t="s">
        <v>0</v>
      </c>
      <c r="G2" t="s">
        <v>4</v>
      </c>
      <c r="I2" s="1" t="s">
        <v>0</v>
      </c>
      <c r="J2" t="s">
        <v>5</v>
      </c>
      <c r="M2" s="8" t="s">
        <v>46</v>
      </c>
      <c r="N2" s="8" t="s">
        <v>47</v>
      </c>
      <c r="O2" s="10" t="s">
        <v>48</v>
      </c>
      <c r="P2" s="10"/>
    </row>
    <row r="3" spans="1:16" x14ac:dyDescent="0.3">
      <c r="A3">
        <v>513</v>
      </c>
      <c r="C3" s="2" t="s">
        <v>14</v>
      </c>
      <c r="D3">
        <v>19</v>
      </c>
      <c r="F3" s="2" t="s">
        <v>14</v>
      </c>
      <c r="G3">
        <v>37.789473684210527</v>
      </c>
      <c r="I3" s="2" t="s">
        <v>14</v>
      </c>
      <c r="J3" s="3">
        <v>6.666666666666667</v>
      </c>
      <c r="M3" s="8" t="str">
        <f>A39</f>
        <v>Not Admitted</v>
      </c>
      <c r="N3" s="9">
        <f>B39</f>
        <v>244</v>
      </c>
      <c r="O3" s="8"/>
      <c r="P3" s="8"/>
    </row>
    <row r="4" spans="1:16" x14ac:dyDescent="0.3">
      <c r="C4" s="2" t="s">
        <v>15</v>
      </c>
      <c r="D4">
        <v>14</v>
      </c>
      <c r="F4" s="2" t="s">
        <v>15</v>
      </c>
      <c r="G4">
        <v>38.214285714285715</v>
      </c>
      <c r="I4" s="2" t="s">
        <v>15</v>
      </c>
      <c r="J4" s="3">
        <v>3.5</v>
      </c>
      <c r="M4" s="8" t="str">
        <f>A38</f>
        <v>Admitted</v>
      </c>
      <c r="N4" s="9">
        <f>B38</f>
        <v>269</v>
      </c>
      <c r="O4" s="8"/>
      <c r="P4" s="8"/>
    </row>
    <row r="5" spans="1:16" x14ac:dyDescent="0.3">
      <c r="A5" s="4" t="s">
        <v>6</v>
      </c>
      <c r="C5" s="2" t="s">
        <v>16</v>
      </c>
      <c r="D5">
        <v>13</v>
      </c>
      <c r="F5" s="2" t="s">
        <v>16</v>
      </c>
      <c r="G5">
        <v>40.92307692307692</v>
      </c>
      <c r="I5" s="2" t="s">
        <v>16</v>
      </c>
      <c r="J5" s="3">
        <v>4.5</v>
      </c>
    </row>
    <row r="6" spans="1:16" x14ac:dyDescent="0.3">
      <c r="A6" t="s">
        <v>4</v>
      </c>
      <c r="C6" s="2" t="s">
        <v>17</v>
      </c>
      <c r="D6">
        <v>22</v>
      </c>
      <c r="F6" s="2" t="s">
        <v>17</v>
      </c>
      <c r="G6">
        <v>34.5</v>
      </c>
      <c r="I6" s="2" t="s">
        <v>17</v>
      </c>
      <c r="J6" s="3">
        <v>4.8</v>
      </c>
    </row>
    <row r="7" spans="1:16" x14ac:dyDescent="0.3">
      <c r="A7" s="3">
        <v>36.323586744639378</v>
      </c>
      <c r="C7" s="2" t="s">
        <v>18</v>
      </c>
      <c r="D7">
        <v>19</v>
      </c>
      <c r="F7" s="2" t="s">
        <v>18</v>
      </c>
      <c r="G7">
        <v>30.684210526315791</v>
      </c>
      <c r="I7" s="2" t="s">
        <v>18</v>
      </c>
      <c r="J7" s="3">
        <v>7.75</v>
      </c>
    </row>
    <row r="8" spans="1:16" x14ac:dyDescent="0.3">
      <c r="C8" s="2" t="s">
        <v>19</v>
      </c>
      <c r="D8">
        <v>15</v>
      </c>
      <c r="F8" s="2" t="s">
        <v>19</v>
      </c>
      <c r="G8">
        <v>37.666666666666664</v>
      </c>
      <c r="I8" s="2" t="s">
        <v>19</v>
      </c>
      <c r="J8" s="3">
        <v>6.2</v>
      </c>
    </row>
    <row r="9" spans="1:16" x14ac:dyDescent="0.3">
      <c r="A9" s="4" t="s">
        <v>7</v>
      </c>
      <c r="C9" s="2" t="s">
        <v>20</v>
      </c>
      <c r="D9">
        <v>12</v>
      </c>
      <c r="F9" s="2" t="s">
        <v>20</v>
      </c>
      <c r="G9">
        <v>36.083333333333336</v>
      </c>
      <c r="I9" s="2" t="s">
        <v>20</v>
      </c>
      <c r="J9" s="3">
        <v>3.75</v>
      </c>
    </row>
    <row r="10" spans="1:16" x14ac:dyDescent="0.3">
      <c r="A10" t="s">
        <v>5</v>
      </c>
      <c r="C10" s="2" t="s">
        <v>21</v>
      </c>
      <c r="D10">
        <v>21</v>
      </c>
      <c r="F10" s="2" t="s">
        <v>21</v>
      </c>
      <c r="G10">
        <v>43.523809523809526</v>
      </c>
      <c r="I10" s="2" t="s">
        <v>21</v>
      </c>
      <c r="J10" s="3">
        <v>6.5</v>
      </c>
    </row>
    <row r="11" spans="1:16" x14ac:dyDescent="0.3">
      <c r="A11" s="3">
        <v>4.9591836734693882</v>
      </c>
      <c r="C11" s="2" t="s">
        <v>22</v>
      </c>
      <c r="D11">
        <v>12</v>
      </c>
      <c r="F11" s="2" t="s">
        <v>22</v>
      </c>
      <c r="G11">
        <v>29.5</v>
      </c>
      <c r="I11" s="2" t="s">
        <v>22</v>
      </c>
      <c r="J11" s="3">
        <v>3</v>
      </c>
    </row>
    <row r="12" spans="1:16" x14ac:dyDescent="0.3">
      <c r="C12" s="2" t="s">
        <v>23</v>
      </c>
      <c r="D12">
        <v>13</v>
      </c>
      <c r="F12" s="2" t="s">
        <v>23</v>
      </c>
      <c r="G12">
        <v>38.07692307692308</v>
      </c>
      <c r="I12" s="2" t="s">
        <v>23</v>
      </c>
      <c r="J12" s="3">
        <v>4.5</v>
      </c>
    </row>
    <row r="13" spans="1:16" x14ac:dyDescent="0.3">
      <c r="C13" s="2" t="s">
        <v>24</v>
      </c>
      <c r="D13">
        <v>13</v>
      </c>
      <c r="F13" s="2" t="s">
        <v>24</v>
      </c>
      <c r="G13">
        <v>35.846153846153847</v>
      </c>
      <c r="I13" s="2" t="s">
        <v>24</v>
      </c>
      <c r="J13" s="3">
        <v>6</v>
      </c>
    </row>
    <row r="14" spans="1:16" x14ac:dyDescent="0.3">
      <c r="C14" s="2" t="s">
        <v>25</v>
      </c>
      <c r="D14">
        <v>16</v>
      </c>
      <c r="F14" s="2" t="s">
        <v>25</v>
      </c>
      <c r="G14">
        <v>32.625</v>
      </c>
      <c r="I14" s="2" t="s">
        <v>25</v>
      </c>
      <c r="J14" s="3">
        <v>5.2</v>
      </c>
    </row>
    <row r="15" spans="1:16" x14ac:dyDescent="0.3">
      <c r="C15" s="2" t="s">
        <v>26</v>
      </c>
      <c r="D15">
        <v>20</v>
      </c>
      <c r="F15" s="2" t="s">
        <v>26</v>
      </c>
      <c r="G15">
        <v>39.200000000000003</v>
      </c>
      <c r="I15" s="2" t="s">
        <v>26</v>
      </c>
      <c r="J15" s="3">
        <v>4.4000000000000004</v>
      </c>
    </row>
    <row r="16" spans="1:16" x14ac:dyDescent="0.3">
      <c r="C16" s="2" t="s">
        <v>27</v>
      </c>
      <c r="D16">
        <v>25</v>
      </c>
      <c r="F16" s="2" t="s">
        <v>27</v>
      </c>
      <c r="G16">
        <v>35.28</v>
      </c>
      <c r="I16" s="2" t="s">
        <v>27</v>
      </c>
      <c r="J16" s="3">
        <v>3.4545454545454546</v>
      </c>
    </row>
    <row r="17" spans="3:10" x14ac:dyDescent="0.3">
      <c r="C17" s="2" t="s">
        <v>28</v>
      </c>
      <c r="D17">
        <v>20</v>
      </c>
      <c r="F17" s="2" t="s">
        <v>28</v>
      </c>
      <c r="G17">
        <v>32.549999999999997</v>
      </c>
      <c r="I17" s="2" t="s">
        <v>28</v>
      </c>
      <c r="J17" s="3">
        <v>4.4000000000000004</v>
      </c>
    </row>
    <row r="18" spans="3:10" x14ac:dyDescent="0.3">
      <c r="C18" s="2" t="s">
        <v>29</v>
      </c>
      <c r="D18">
        <v>14</v>
      </c>
      <c r="F18" s="2" t="s">
        <v>29</v>
      </c>
      <c r="G18">
        <v>35.642857142857146</v>
      </c>
      <c r="I18" s="2" t="s">
        <v>29</v>
      </c>
      <c r="J18" s="3">
        <v>5.833333333333333</v>
      </c>
    </row>
    <row r="19" spans="3:10" x14ac:dyDescent="0.3">
      <c r="C19" s="2" t="s">
        <v>30</v>
      </c>
      <c r="D19">
        <v>17</v>
      </c>
      <c r="F19" s="2" t="s">
        <v>30</v>
      </c>
      <c r="G19">
        <v>38.764705882352942</v>
      </c>
      <c r="I19" s="2" t="s">
        <v>30</v>
      </c>
      <c r="J19" s="3">
        <v>4.4444444444444446</v>
      </c>
    </row>
    <row r="20" spans="3:10" x14ac:dyDescent="0.3">
      <c r="C20" s="2" t="s">
        <v>31</v>
      </c>
      <c r="D20">
        <v>20</v>
      </c>
      <c r="F20" s="2" t="s">
        <v>31</v>
      </c>
      <c r="G20">
        <v>39.9</v>
      </c>
      <c r="I20" s="2" t="s">
        <v>31</v>
      </c>
      <c r="J20" s="3">
        <v>5.333333333333333</v>
      </c>
    </row>
    <row r="21" spans="3:10" x14ac:dyDescent="0.3">
      <c r="C21" s="2" t="s">
        <v>32</v>
      </c>
      <c r="D21">
        <v>10</v>
      </c>
      <c r="F21" s="2" t="s">
        <v>32</v>
      </c>
      <c r="G21">
        <v>41.6</v>
      </c>
      <c r="I21" s="2" t="s">
        <v>32</v>
      </c>
      <c r="J21" s="3">
        <v>5.333333333333333</v>
      </c>
    </row>
    <row r="22" spans="3:10" x14ac:dyDescent="0.3">
      <c r="C22" s="2" t="s">
        <v>33</v>
      </c>
      <c r="D22">
        <v>17</v>
      </c>
      <c r="F22" s="2" t="s">
        <v>33</v>
      </c>
      <c r="G22">
        <v>39.470588235294116</v>
      </c>
      <c r="I22" s="2" t="s">
        <v>33</v>
      </c>
      <c r="J22" s="3">
        <v>5.5714285714285712</v>
      </c>
    </row>
    <row r="23" spans="3:10" x14ac:dyDescent="0.3">
      <c r="C23" s="2" t="s">
        <v>34</v>
      </c>
      <c r="D23">
        <v>15</v>
      </c>
      <c r="F23" s="2" t="s">
        <v>34</v>
      </c>
      <c r="G23">
        <v>27.733333333333334</v>
      </c>
      <c r="I23" s="2" t="s">
        <v>34</v>
      </c>
      <c r="J23" s="3">
        <v>5</v>
      </c>
    </row>
    <row r="24" spans="3:10" x14ac:dyDescent="0.3">
      <c r="C24" s="2" t="s">
        <v>35</v>
      </c>
      <c r="D24">
        <v>16</v>
      </c>
      <c r="F24" s="2" t="s">
        <v>35</v>
      </c>
      <c r="G24">
        <v>36.875</v>
      </c>
      <c r="I24" s="2" t="s">
        <v>35</v>
      </c>
      <c r="J24" s="3">
        <v>6.4</v>
      </c>
    </row>
    <row r="25" spans="3:10" x14ac:dyDescent="0.3">
      <c r="C25" s="2" t="s">
        <v>36</v>
      </c>
      <c r="D25">
        <v>18</v>
      </c>
      <c r="F25" s="2" t="s">
        <v>36</v>
      </c>
      <c r="G25">
        <v>40.333333333333336</v>
      </c>
      <c r="I25" s="2" t="s">
        <v>36</v>
      </c>
      <c r="J25" s="3">
        <v>5.333333333333333</v>
      </c>
    </row>
    <row r="26" spans="3:10" x14ac:dyDescent="0.3">
      <c r="C26" s="2" t="s">
        <v>37</v>
      </c>
      <c r="D26">
        <v>16</v>
      </c>
      <c r="F26" s="2" t="s">
        <v>37</v>
      </c>
      <c r="G26">
        <v>36.5</v>
      </c>
      <c r="I26" s="2" t="s">
        <v>37</v>
      </c>
      <c r="J26" s="3">
        <v>3.75</v>
      </c>
    </row>
    <row r="27" spans="3:10" x14ac:dyDescent="0.3">
      <c r="C27" s="2" t="s">
        <v>38</v>
      </c>
      <c r="D27">
        <v>15</v>
      </c>
      <c r="F27" s="2" t="s">
        <v>38</v>
      </c>
      <c r="G27">
        <v>32.866666666666667</v>
      </c>
      <c r="I27" s="2" t="s">
        <v>38</v>
      </c>
      <c r="J27" s="3">
        <v>6.333333333333333</v>
      </c>
    </row>
    <row r="28" spans="3:10" x14ac:dyDescent="0.3">
      <c r="C28" s="2" t="s">
        <v>39</v>
      </c>
      <c r="D28">
        <v>14</v>
      </c>
      <c r="F28" s="2" t="s">
        <v>39</v>
      </c>
      <c r="G28">
        <v>36.642857142857146</v>
      </c>
      <c r="I28" s="2" t="s">
        <v>39</v>
      </c>
      <c r="J28" s="3">
        <v>10</v>
      </c>
    </row>
    <row r="29" spans="3:10" x14ac:dyDescent="0.3">
      <c r="C29" s="2" t="s">
        <v>40</v>
      </c>
      <c r="D29">
        <v>16</v>
      </c>
      <c r="F29" s="2" t="s">
        <v>40</v>
      </c>
      <c r="G29">
        <v>36.5625</v>
      </c>
      <c r="I29" s="2" t="s">
        <v>40</v>
      </c>
      <c r="J29" s="3">
        <v>5</v>
      </c>
    </row>
    <row r="30" spans="3:10" x14ac:dyDescent="0.3">
      <c r="C30" s="2" t="s">
        <v>41</v>
      </c>
      <c r="D30">
        <v>20</v>
      </c>
      <c r="F30" s="2" t="s">
        <v>41</v>
      </c>
      <c r="G30">
        <v>32.15</v>
      </c>
      <c r="I30" s="2" t="s">
        <v>41</v>
      </c>
      <c r="J30" s="3">
        <v>5.333333333333333</v>
      </c>
    </row>
    <row r="31" spans="3:10" x14ac:dyDescent="0.3">
      <c r="C31" s="2" t="s">
        <v>42</v>
      </c>
      <c r="D31">
        <v>19</v>
      </c>
      <c r="F31" s="2" t="s">
        <v>42</v>
      </c>
      <c r="G31">
        <v>38.368421052631582</v>
      </c>
      <c r="I31" s="2" t="s">
        <v>42</v>
      </c>
      <c r="J31" s="3">
        <v>4.8</v>
      </c>
    </row>
    <row r="32" spans="3:10" x14ac:dyDescent="0.3">
      <c r="C32" s="2" t="s">
        <v>43</v>
      </c>
      <c r="D32">
        <v>14</v>
      </c>
      <c r="F32" s="2" t="s">
        <v>43</v>
      </c>
      <c r="G32">
        <v>33.071428571428569</v>
      </c>
      <c r="I32" s="2" t="s">
        <v>43</v>
      </c>
      <c r="J32" s="3">
        <v>5</v>
      </c>
    </row>
    <row r="33" spans="1:10" x14ac:dyDescent="0.3">
      <c r="C33" s="2" t="s">
        <v>44</v>
      </c>
      <c r="D33">
        <v>18</v>
      </c>
      <c r="F33" s="2" t="s">
        <v>44</v>
      </c>
      <c r="G33">
        <v>36.444444444444443</v>
      </c>
      <c r="I33" s="2" t="s">
        <v>44</v>
      </c>
      <c r="J33" s="3">
        <v>1.4</v>
      </c>
    </row>
    <row r="34" spans="1:10" x14ac:dyDescent="0.3">
      <c r="C34" s="2" t="s">
        <v>1</v>
      </c>
      <c r="D34">
        <v>513</v>
      </c>
      <c r="F34" s="2" t="s">
        <v>1</v>
      </c>
      <c r="G34">
        <v>36.323586744639378</v>
      </c>
      <c r="I34" s="2" t="s">
        <v>1</v>
      </c>
      <c r="J34" s="3">
        <v>4.9591836734693882</v>
      </c>
    </row>
    <row r="36" spans="1:10" x14ac:dyDescent="0.3">
      <c r="E36" s="4"/>
    </row>
    <row r="37" spans="1:10" x14ac:dyDescent="0.3">
      <c r="A37" s="1" t="s">
        <v>0</v>
      </c>
      <c r="B37" t="s">
        <v>13</v>
      </c>
      <c r="C37" t="s">
        <v>45</v>
      </c>
      <c r="E37" s="1" t="s">
        <v>0</v>
      </c>
      <c r="F37" t="s">
        <v>71</v>
      </c>
    </row>
    <row r="38" spans="1:10" x14ac:dyDescent="0.3">
      <c r="A38" s="2" t="s">
        <v>11</v>
      </c>
      <c r="B38" s="3">
        <v>269</v>
      </c>
      <c r="C38" s="6">
        <v>0.52436647173489281</v>
      </c>
      <c r="E38" s="2" t="s">
        <v>64</v>
      </c>
      <c r="F38" s="7">
        <v>4</v>
      </c>
    </row>
    <row r="39" spans="1:10" x14ac:dyDescent="0.3">
      <c r="A39" s="2" t="s">
        <v>12</v>
      </c>
      <c r="B39" s="3">
        <v>244</v>
      </c>
      <c r="C39" s="6">
        <v>0.47563352826510719</v>
      </c>
      <c r="E39" s="2" t="s">
        <v>70</v>
      </c>
      <c r="F39" s="7">
        <v>5</v>
      </c>
    </row>
    <row r="40" spans="1:10" x14ac:dyDescent="0.3">
      <c r="A40" s="2" t="s">
        <v>1</v>
      </c>
      <c r="B40" s="3">
        <v>513</v>
      </c>
      <c r="C40" s="6">
        <v>1</v>
      </c>
      <c r="E40" s="2" t="s">
        <v>66</v>
      </c>
      <c r="F40" s="7">
        <v>9</v>
      </c>
    </row>
    <row r="41" spans="1:10" x14ac:dyDescent="0.3">
      <c r="E41" s="2" t="s">
        <v>69</v>
      </c>
      <c r="F41" s="7">
        <v>14</v>
      </c>
    </row>
    <row r="42" spans="1:10" x14ac:dyDescent="0.3">
      <c r="E42" s="2" t="s">
        <v>63</v>
      </c>
      <c r="F42" s="7">
        <v>14</v>
      </c>
    </row>
    <row r="43" spans="1:10" x14ac:dyDescent="0.3">
      <c r="A43" s="1" t="s">
        <v>0</v>
      </c>
      <c r="B43" t="s">
        <v>57</v>
      </c>
      <c r="E43" s="2" t="s">
        <v>68</v>
      </c>
      <c r="F43" s="7">
        <v>65</v>
      </c>
    </row>
    <row r="44" spans="1:10" x14ac:dyDescent="0.3">
      <c r="A44" s="2" t="s">
        <v>49</v>
      </c>
      <c r="B44" s="7">
        <v>76</v>
      </c>
      <c r="E44" s="2" t="s">
        <v>65</v>
      </c>
      <c r="F44" s="7">
        <v>103</v>
      </c>
    </row>
    <row r="45" spans="1:10" x14ac:dyDescent="0.3">
      <c r="A45" s="2" t="s">
        <v>50</v>
      </c>
      <c r="B45" s="7">
        <v>69</v>
      </c>
      <c r="E45" s="2" t="s">
        <v>67</v>
      </c>
      <c r="F45" s="7">
        <v>299</v>
      </c>
    </row>
    <row r="46" spans="1:10" x14ac:dyDescent="0.3">
      <c r="A46" s="2" t="s">
        <v>51</v>
      </c>
      <c r="B46" s="7">
        <v>64</v>
      </c>
      <c r="E46" s="2" t="s">
        <v>1</v>
      </c>
      <c r="F46" s="7">
        <v>513</v>
      </c>
    </row>
    <row r="47" spans="1:10" x14ac:dyDescent="0.3">
      <c r="A47" s="2" t="s">
        <v>52</v>
      </c>
      <c r="B47" s="7">
        <v>59</v>
      </c>
    </row>
    <row r="48" spans="1:10" x14ac:dyDescent="0.3">
      <c r="A48" s="2" t="s">
        <v>53</v>
      </c>
      <c r="B48" s="7">
        <v>58</v>
      </c>
    </row>
    <row r="49" spans="1:5" x14ac:dyDescent="0.3">
      <c r="A49" s="2" t="s">
        <v>54</v>
      </c>
      <c r="B49" s="7">
        <v>66</v>
      </c>
    </row>
    <row r="50" spans="1:5" x14ac:dyDescent="0.3">
      <c r="A50" s="2" t="s">
        <v>55</v>
      </c>
      <c r="B50" s="7">
        <v>67</v>
      </c>
    </row>
    <row r="51" spans="1:5" x14ac:dyDescent="0.3">
      <c r="A51" s="2" t="s">
        <v>56</v>
      </c>
      <c r="B51" s="7">
        <v>54</v>
      </c>
    </row>
    <row r="52" spans="1:5" x14ac:dyDescent="0.3">
      <c r="A52" s="2" t="s">
        <v>1</v>
      </c>
      <c r="B52" s="7">
        <v>513</v>
      </c>
    </row>
    <row r="55" spans="1:5" x14ac:dyDescent="0.3">
      <c r="A55" s="1" t="s">
        <v>0</v>
      </c>
      <c r="B55" t="s">
        <v>60</v>
      </c>
      <c r="E55" s="1" t="s">
        <v>0</v>
      </c>
    </row>
    <row r="56" spans="1:5" x14ac:dyDescent="0.3">
      <c r="A56" s="2" t="s">
        <v>58</v>
      </c>
      <c r="B56" s="3">
        <v>316</v>
      </c>
      <c r="E56" s="2" t="s">
        <v>72</v>
      </c>
    </row>
    <row r="57" spans="1:5" x14ac:dyDescent="0.3">
      <c r="A57" s="2" t="s">
        <v>59</v>
      </c>
      <c r="B57" s="3">
        <v>197</v>
      </c>
      <c r="E57" s="2" t="s">
        <v>1</v>
      </c>
    </row>
    <row r="58" spans="1:5" x14ac:dyDescent="0.3">
      <c r="A58" s="2" t="s">
        <v>1</v>
      </c>
      <c r="B58" s="3">
        <v>513</v>
      </c>
    </row>
    <row r="60" spans="1:5" x14ac:dyDescent="0.3">
      <c r="A60" s="1" t="s">
        <v>0</v>
      </c>
      <c r="B60" t="s">
        <v>60</v>
      </c>
    </row>
    <row r="61" spans="1:5" x14ac:dyDescent="0.3">
      <c r="A61" s="2" t="s">
        <v>61</v>
      </c>
      <c r="B61" s="7">
        <v>241</v>
      </c>
    </row>
    <row r="62" spans="1:5" x14ac:dyDescent="0.3">
      <c r="A62" s="2" t="s">
        <v>62</v>
      </c>
      <c r="B62" s="7">
        <v>272</v>
      </c>
    </row>
    <row r="63" spans="1:5" x14ac:dyDescent="0.3">
      <c r="A63" s="2" t="s">
        <v>1</v>
      </c>
      <c r="B63" s="3">
        <v>513</v>
      </c>
    </row>
  </sheetData>
  <mergeCells count="1">
    <mergeCell ref="O2:P2"/>
  </mergeCells>
  <pageMargins left="0.7" right="0.7" top="0.75" bottom="0.75" header="0.3" footer="0.3"/>
  <pageSetup orientation="portrait" r:id="rId13"/>
  <drawing r:id="rId1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19D2DEB7-0D21-4BAE-BB8A-EBF94F1A2951}">
  <ds:schemaRefs/>
</ds:datastoreItem>
</file>

<file path=customXml/itemProps2.xml><?xml version="1.0" encoding="utf-8"?>
<ds:datastoreItem xmlns:ds="http://schemas.openxmlformats.org/officeDocument/2006/customXml" ds:itemID="{7C2FC28E-FEEA-4F2E-8841-47A39D04B831}">
  <ds:schemaRefs>
    <ds:schemaRef ds:uri="http://schemas.microsoft.com/DataMashup"/>
  </ds:schemaRefs>
</ds:datastoreItem>
</file>

<file path=customXml/itemProps3.xml><?xml version="1.0" encoding="utf-8"?>
<ds:datastoreItem xmlns:ds="http://schemas.openxmlformats.org/officeDocument/2006/customXml" ds:itemID="{2B378CA9-C341-4845-8271-E961C82C9C2B}">
  <ds:schemaRefs/>
</ds:datastoreItem>
</file>

<file path=customXml/itemProps4.xml><?xml version="1.0" encoding="utf-8"?>
<ds:datastoreItem xmlns:ds="http://schemas.openxmlformats.org/officeDocument/2006/customXml" ds:itemID="{BA402487-C451-49FC-959A-2A905943D282}">
  <ds:schemaRefs/>
</ds:datastoreItem>
</file>

<file path=customXml/itemProps5.xml><?xml version="1.0" encoding="utf-8"?>
<ds:datastoreItem xmlns:ds="http://schemas.openxmlformats.org/officeDocument/2006/customXml" ds:itemID="{044AFB3D-6459-4D7A-B271-93A10A073139}">
  <ds:schemaRefs/>
</ds:datastoreItem>
</file>

<file path=customXml/itemProps6.xml><?xml version="1.0" encoding="utf-8"?>
<ds:datastoreItem xmlns:ds="http://schemas.openxmlformats.org/officeDocument/2006/customXml" ds:itemID="{F8AADA5A-F823-42FE-81A0-48B7E48575F4}">
  <ds:schemaRefs/>
</ds:datastoreItem>
</file>

<file path=customXml/itemProps7.xml><?xml version="1.0" encoding="utf-8"?>
<ds:datastoreItem xmlns:ds="http://schemas.openxmlformats.org/officeDocument/2006/customXml" ds:itemID="{C6994EB5-0F37-4425-8978-0069A0860F58}">
  <ds:schemaRefs/>
</ds:datastoreItem>
</file>

<file path=customXml/itemProps8.xml><?xml version="1.0" encoding="utf-8"?>
<ds:datastoreItem xmlns:ds="http://schemas.openxmlformats.org/officeDocument/2006/customXml" ds:itemID="{71D3EE42-0753-4F59-AA53-D6217F087774}">
  <ds:schemaRefs/>
</ds:datastoreItem>
</file>

<file path=customXml/itemProps9.xml><?xml version="1.0" encoding="utf-8"?>
<ds:datastoreItem xmlns:ds="http://schemas.openxmlformats.org/officeDocument/2006/customXml" ds:itemID="{BB275206-6A74-4E6D-8793-28D39AA07D79}">
  <ds:schemaRefs/>
</ds:datastoreItem>
</file>

<file path=customXml/itemProps10.xml><?xml version="1.0" encoding="utf-8"?>
<ds:datastoreItem xmlns:ds="http://schemas.openxmlformats.org/officeDocument/2006/customXml" ds:itemID="{B86B47CA-05AD-4644-8349-058C0D9B0764}">
  <ds:schemaRefs/>
</ds:datastoreItem>
</file>

<file path=customXml/itemProps11.xml><?xml version="1.0" encoding="utf-8"?>
<ds:datastoreItem xmlns:ds="http://schemas.openxmlformats.org/officeDocument/2006/customXml" ds:itemID="{3C50A90E-609E-4E74-84B0-AF899CEF368D}">
  <ds:schemaRefs/>
</ds:datastoreItem>
</file>

<file path=customXml/itemProps12.xml><?xml version="1.0" encoding="utf-8"?>
<ds:datastoreItem xmlns:ds="http://schemas.openxmlformats.org/officeDocument/2006/customXml" ds:itemID="{95655B03-8FB7-45AE-8A5D-3DEE61B31AC1}">
  <ds:schemaRefs/>
</ds:datastoreItem>
</file>

<file path=customXml/itemProps13.xml><?xml version="1.0" encoding="utf-8"?>
<ds:datastoreItem xmlns:ds="http://schemas.openxmlformats.org/officeDocument/2006/customXml" ds:itemID="{6E67D9D1-86DE-4C00-8FA6-226778A67544}">
  <ds:schemaRefs/>
</ds:datastoreItem>
</file>

<file path=customXml/itemProps14.xml><?xml version="1.0" encoding="utf-8"?>
<ds:datastoreItem xmlns:ds="http://schemas.openxmlformats.org/officeDocument/2006/customXml" ds:itemID="{F0A9DB6F-6A68-406D-AA5C-123DFD6FC4DD}">
  <ds:schemaRefs/>
</ds:datastoreItem>
</file>

<file path=customXml/itemProps15.xml><?xml version="1.0" encoding="utf-8"?>
<ds:datastoreItem xmlns:ds="http://schemas.openxmlformats.org/officeDocument/2006/customXml" ds:itemID="{97CFA333-D635-4982-BB34-56BE64594454}">
  <ds:schemaRefs/>
</ds:datastoreItem>
</file>

<file path=customXml/itemProps16.xml><?xml version="1.0" encoding="utf-8"?>
<ds:datastoreItem xmlns:ds="http://schemas.openxmlformats.org/officeDocument/2006/customXml" ds:itemID="{71D8E9BB-C0C1-4CEF-9D98-41B11AEDC8C9}">
  <ds:schemaRefs/>
</ds:datastoreItem>
</file>

<file path=customXml/itemProps17.xml><?xml version="1.0" encoding="utf-8"?>
<ds:datastoreItem xmlns:ds="http://schemas.openxmlformats.org/officeDocument/2006/customXml" ds:itemID="{6C50B76A-7057-46F5-A85F-71DFA61CF05A}">
  <ds:schemaRefs/>
</ds:datastoreItem>
</file>

<file path=customXml/itemProps18.xml><?xml version="1.0" encoding="utf-8"?>
<ds:datastoreItem xmlns:ds="http://schemas.openxmlformats.org/officeDocument/2006/customXml" ds:itemID="{1CE7006D-7985-4955-8CFD-BFCFCD509A5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Pivot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Deepraj Patel</dc:creator>
  <cp:lastModifiedBy>Deepraj Patel</cp:lastModifiedBy>
  <cp:lastPrinted>2025-12-07T09:33:53Z</cp:lastPrinted>
  <dcterms:created xsi:type="dcterms:W3CDTF">2025-12-07T06:33:56Z</dcterms:created>
  <dcterms:modified xsi:type="dcterms:W3CDTF">2025-12-07T14:19:38Z</dcterms:modified>
</cp:coreProperties>
</file>